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- Sprint 0" sheetId="1" r:id="rId5"/>
  </sheets>
  <definedNames/>
  <calcPr/>
</workbook>
</file>

<file path=xl/sharedStrings.xml><?xml version="1.0" encoding="utf-8"?>
<sst xmlns="http://schemas.openxmlformats.org/spreadsheetml/2006/main" count="14" uniqueCount="14">
  <si>
    <t>Dia</t>
  </si>
  <si>
    <t>Pts Ideales Restantes</t>
  </si>
  <si>
    <t>Pts Reales Hechos</t>
  </si>
  <si>
    <t>Pts Totales</t>
  </si>
  <si>
    <t>Dias Totales</t>
  </si>
  <si>
    <t>Pts Ideales</t>
  </si>
  <si>
    <t>Toma de requerimientos iniciales</t>
  </si>
  <si>
    <t>Investigación de tecnologias (Frontend, Backend, BD)</t>
  </si>
  <si>
    <t>Configuración de repositorio</t>
  </si>
  <si>
    <t>Definición inicial de historias de usuario y criterios</t>
  </si>
  <si>
    <t>Configuración de entorno de desarrollo</t>
  </si>
  <si>
    <t>Diseño preliminar de arquitectura</t>
  </si>
  <si>
    <t>Validación inicial de requerimientos con el cliente</t>
  </si>
  <si>
    <t>Planificación de hitos y distribución de sprints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</si>
</sst>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5" fontId="2" numFmtId="0" xfId="0" applyAlignment="1" applyFill="1" applyFont="1">
      <alignment horizontal="right" vertical="bottom"/>
    </xf>
    <xf borderId="0" fillId="6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Chart - Sprint 0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'Burndown Chart - Sprint 0'!$B$1</c:f>
            </c:strRef>
          </c:tx>
          <c:spPr>
            <a:ln cmpd="sng">
              <a:solidFill>
                <a:srgbClr val="4285F4"/>
              </a:solidFill>
              <a:prstDash val="sysDot"/>
            </a:ln>
          </c:spPr>
          <c:marker>
            <c:symbol val="none"/>
          </c:marker>
          <c:cat>
            <c:strRef>
              <c:f>'Burndown Chart - Sprint 0'!$A$2:$A$1000</c:f>
            </c:strRef>
          </c:cat>
          <c:val>
            <c:numRef>
              <c:f>'Burndown Chart - Sprint 0'!$B$2:$B$1000</c:f>
              <c:numCache/>
            </c:numRef>
          </c:val>
          <c:smooth val="0"/>
        </c:ser>
        <c:ser>
          <c:idx val="1"/>
          <c:order val="1"/>
          <c:tx>
            <c:strRef>
              <c:f>'Burndown Chart - Sprint 0'!$C$1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Chart - Sprint 0'!$A$2:$A$1000</c:f>
            </c:strRef>
          </c:cat>
          <c:val>
            <c:numRef>
              <c:f>'Burndown Chart - Sprint 0'!$C$2:$C$1000</c:f>
              <c:numCache/>
            </c:numRef>
          </c:val>
          <c:smooth val="0"/>
        </c:ser>
        <c:axId val="1898576226"/>
        <c:axId val="1306092185"/>
      </c:lineChart>
      <c:catAx>
        <c:axId val="1898576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092185"/>
      </c:catAx>
      <c:valAx>
        <c:axId val="1306092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576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25"/>
    <col customWidth="1" min="3" max="3" width="16.0"/>
    <col customWidth="1" min="5" max="5" width="9.75"/>
    <col customWidth="1" min="6" max="6" width="10.75"/>
    <col customWidth="1" min="7" max="7" width="9.75"/>
    <col customWidth="1" min="12" max="12" width="2.88"/>
    <col customWidth="1" min="13" max="13" width="41.0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  <c r="M1" s="2"/>
    </row>
    <row r="2">
      <c r="A2" s="3">
        <v>1.0</v>
      </c>
      <c r="B2" s="3">
        <f>E2</f>
        <v>105</v>
      </c>
      <c r="C2" s="3">
        <f>E2-0</f>
        <v>105</v>
      </c>
      <c r="D2" s="2"/>
      <c r="E2" s="3">
        <f>SUM(L:L)</f>
        <v>105</v>
      </c>
      <c r="F2" s="3">
        <f>MAX(A:A)</f>
        <v>7</v>
      </c>
      <c r="G2" s="3">
        <f>E2/F2</f>
        <v>15</v>
      </c>
      <c r="H2" s="2"/>
      <c r="I2" s="2"/>
      <c r="J2" s="2"/>
      <c r="K2" s="2"/>
      <c r="L2" s="4">
        <v>15.0</v>
      </c>
      <c r="M2" s="2" t="s">
        <v>6</v>
      </c>
    </row>
    <row r="3">
      <c r="A3" s="3">
        <v>2.0</v>
      </c>
      <c r="B3" s="3">
        <f t="shared" ref="B3:B8" si="1">B2-$G$2</f>
        <v>90</v>
      </c>
      <c r="C3" s="3">
        <f>C2-0</f>
        <v>105</v>
      </c>
      <c r="D3" s="2"/>
      <c r="E3" s="2"/>
      <c r="F3" s="2"/>
      <c r="G3" s="2"/>
      <c r="H3" s="2"/>
      <c r="I3" s="2"/>
      <c r="J3" s="2"/>
      <c r="K3" s="2"/>
      <c r="L3" s="5">
        <v>15.0</v>
      </c>
      <c r="M3" s="2" t="s">
        <v>7</v>
      </c>
    </row>
    <row r="4">
      <c r="A4" s="3">
        <v>3.0</v>
      </c>
      <c r="B4" s="3">
        <f t="shared" si="1"/>
        <v>75</v>
      </c>
      <c r="C4" s="4">
        <f>C3-15</f>
        <v>90</v>
      </c>
      <c r="D4" s="2"/>
      <c r="E4" s="2"/>
      <c r="F4" s="2"/>
      <c r="G4" s="2"/>
      <c r="H4" s="2"/>
      <c r="I4" s="2"/>
      <c r="J4" s="2"/>
      <c r="K4" s="2"/>
      <c r="L4" s="5">
        <v>15.0</v>
      </c>
      <c r="M4" s="2" t="s">
        <v>8</v>
      </c>
    </row>
    <row r="5">
      <c r="A5" s="3">
        <v>4.0</v>
      </c>
      <c r="B5" s="3">
        <f t="shared" si="1"/>
        <v>60</v>
      </c>
      <c r="C5" s="5">
        <f>C4-30</f>
        <v>60</v>
      </c>
      <c r="D5" s="2"/>
      <c r="E5" s="2"/>
      <c r="F5" s="2"/>
      <c r="G5" s="2"/>
      <c r="H5" s="2"/>
      <c r="I5" s="2"/>
      <c r="J5" s="2"/>
      <c r="K5" s="2"/>
      <c r="L5" s="6">
        <v>10.0</v>
      </c>
      <c r="M5" s="2" t="s">
        <v>9</v>
      </c>
    </row>
    <row r="6">
      <c r="A6" s="3">
        <v>5.0</v>
      </c>
      <c r="B6" s="3">
        <f t="shared" si="1"/>
        <v>45</v>
      </c>
      <c r="C6" s="6">
        <f>C5-20</f>
        <v>40</v>
      </c>
      <c r="D6" s="2"/>
      <c r="E6" s="2"/>
      <c r="F6" s="2"/>
      <c r="G6" s="2"/>
      <c r="H6" s="2"/>
      <c r="I6" s="2"/>
      <c r="J6" s="2"/>
      <c r="K6" s="2"/>
      <c r="L6" s="6">
        <v>10.0</v>
      </c>
      <c r="M6" s="2" t="s">
        <v>10</v>
      </c>
    </row>
    <row r="7">
      <c r="A7" s="3">
        <v>6.0</v>
      </c>
      <c r="B7" s="3">
        <f t="shared" si="1"/>
        <v>30</v>
      </c>
      <c r="C7" s="7">
        <f>C6-40</f>
        <v>0</v>
      </c>
      <c r="D7" s="2"/>
      <c r="E7" s="2"/>
      <c r="F7" s="2"/>
      <c r="G7" s="2"/>
      <c r="H7" s="2"/>
      <c r="I7" s="2"/>
      <c r="J7" s="2"/>
      <c r="K7" s="2"/>
      <c r="L7" s="7">
        <v>10.0</v>
      </c>
      <c r="M7" s="2" t="s">
        <v>11</v>
      </c>
    </row>
    <row r="8">
      <c r="A8" s="3">
        <v>7.0</v>
      </c>
      <c r="B8" s="3">
        <f t="shared" si="1"/>
        <v>15</v>
      </c>
      <c r="C8" s="3">
        <f>C7-0</f>
        <v>0</v>
      </c>
      <c r="D8" s="2"/>
      <c r="E8" s="2"/>
      <c r="F8" s="2"/>
      <c r="G8" s="2"/>
      <c r="H8" s="2"/>
      <c r="I8" s="2"/>
      <c r="J8" s="2"/>
      <c r="K8" s="2"/>
      <c r="L8" s="7">
        <v>15.0</v>
      </c>
      <c r="M8" s="2" t="s">
        <v>12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7">
        <v>15.0</v>
      </c>
      <c r="M9" s="2" t="s">
        <v>13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drawing r:id="rId1"/>
</worksheet>
</file>