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 - Sprint 1" sheetId="1" r:id="rId5"/>
  </sheets>
  <definedNames/>
  <calcPr/>
</workbook>
</file>

<file path=xl/sharedStrings.xml><?xml version="1.0" encoding="utf-8"?>
<sst xmlns="http://schemas.openxmlformats.org/spreadsheetml/2006/main" count="152" uniqueCount="108">
  <si>
    <t>Elemento pendiente</t>
  </si>
  <si>
    <t>Pts Historia</t>
  </si>
  <si>
    <t>Estado</t>
  </si>
  <si>
    <t>Pts Tarea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</si>
  <si>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</si>
  <si>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</si>
  <si>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</si>
  <si>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</si>
  <si>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</si>
  <si>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</si>
  <si>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</si>
  <si>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</si>
  <si>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</si>
  <si>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</si>
  <si>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</si>
  <si>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</si>
  <si>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</si>
  <si>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</si>
  <si>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</si>
  <si>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</si>
  <si>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</si>
  <si>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</si>
  <si>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</si>
  <si>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</si>
  <si>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</si>
  <si>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</si>
  <si>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</si>
  <si>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</si>
  <si>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</si>
  <si>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</si>
  <si>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</si>
  <si>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</si>
  <si>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Restante</t>
  </si>
  <si>
    <t>H-4 - Como Jefa de taller quiero definir el estado de entrega de los pedidos para diferenciar cuándo una prenda está finalizada o si ha sido entregada al cliente.</t>
  </si>
  <si>
    <t>P-17 Implementación de estados generales del pedido</t>
  </si>
  <si>
    <t>Definir lógica de estados para pedido (pendiente, en proceso, entregado)</t>
  </si>
  <si>
    <t>Finalizado</t>
  </si>
  <si>
    <t>Implementar backend de cambio de estado</t>
  </si>
  <si>
    <t>Construir interfaz para actualizar el estado del pedido</t>
  </si>
  <si>
    <t>H-5 - Como Jefa de taller, quiero registrar los pedidos de los clientes, para mantener un control organizado de los trabajos solicitados.</t>
  </si>
  <si>
    <t>P-13 Conexion con backend para registro de pedidos</t>
  </si>
  <si>
    <t>Crear endpoint de creación de pedidos</t>
  </si>
  <si>
    <t xml:space="preserve"> Validar datos de entrada del pedido</t>
  </si>
  <si>
    <t>Conectar endpoint con la base de datos</t>
  </si>
  <si>
    <t>P-14 Desarrollo del frontend de registro de pedidos</t>
  </si>
  <si>
    <t>Diseñar formulario de registro de pedido</t>
  </si>
  <si>
    <t>Implementar formulario y validaciones en frontend</t>
  </si>
  <si>
    <t>Conectar formulario con el backend</t>
  </si>
  <si>
    <t>H-6 - Como Jefa de taller, quiero poder consultar los pedidos registrados y sus detalles, para acceder fácilmente a la información de cada trabajo cuando la necesite.
H-7 - Como Jefa de taller, quiero mantener un registro de los pedidos realizados, para contar con un respaldo de los detalles acordados con cada cliente y evitar la pérdida de información.</t>
  </si>
  <si>
    <t>P-15 Desarrollo de la vista de listado y detalle de pedidos</t>
  </si>
  <si>
    <t>Definir lógica de estados para trabajos (pendiente, en proceso, en revisión)</t>
  </si>
  <si>
    <t>Construir vista de listado de pedidos</t>
  </si>
  <si>
    <t>Construir vista de detalle de un pedido</t>
  </si>
  <si>
    <t>H-9 - Como Jefa de taller, quiero poder registrar un tipo de prenda para poder mantener los catálogos organizados.</t>
  </si>
  <si>
    <t>P-16 Desarrollo de gestión de tipos de prendas</t>
  </si>
  <si>
    <t>Crear backend CRUD de tipos de prenda</t>
  </si>
  <si>
    <t>Construir vista de catálogo de prendas</t>
  </si>
  <si>
    <t>Implementar formulario de creación/edición de prenda</t>
  </si>
  <si>
    <t>H-13 - Como Dueña de la empresa quiero que los clientes puedan consultar los precios de los servicios de forma autónoma, para evitar tener que responder constantemente preguntas sobre los precios y poder dedicar más tiempo a otras actividades del taller.</t>
  </si>
  <si>
    <t>P-23 - Creación de sección de Preguntas Frecuentes (FAQ)</t>
  </si>
  <si>
    <t>Redactar contenido de preguntas frecuentes</t>
  </si>
  <si>
    <t>Implementar componente FAQ (acordeón) en frontend</t>
  </si>
  <si>
    <t>P-24 - Desarrollo vista Landing Page</t>
  </si>
  <si>
    <t>Diseñar estructura general de la landing page</t>
  </si>
  <si>
    <t>Implementar layout y navegación</t>
  </si>
  <si>
    <t>Construir formulario de login en frontend</t>
  </si>
  <si>
    <t>H-14 - Como cliente quiero poder visitar las redes sociales del taller, para conocer sus servicios y ver sus trabajos realizados para tener una referencia de estos.
H-15 - Como cliente, quiero poder acceder a los diferentes medios de comunicación disponibles con la jefa de taller, para poder realizar consultas, solicitar información y mantener una comunicación más rápida y eficaz.</t>
  </si>
  <si>
    <t>P-21 - Integración de enlaces directos a redes sociales y WhatsApp</t>
  </si>
  <si>
    <t>Definir enlaces y botones de contacto</t>
  </si>
  <si>
    <t>Implementar botones flotantes de contacto</t>
  </si>
  <si>
    <t>Probar enlaces en distintos dispositivos</t>
  </si>
  <si>
    <t xml:space="preserve">H-16 - Como cliente quiero ver fotos de los trabajos realizados para comprobar la calidad del servicio. </t>
  </si>
  <si>
    <t>P-22 - Vista galería visual de trabajos anteriores (carrusel)</t>
  </si>
  <si>
    <t>Preparar imágenes de trabajos anteriores</t>
  </si>
  <si>
    <t>Implementar componente de carrusel</t>
  </si>
  <si>
    <t>Integrar carrusel en la landing page</t>
  </si>
  <si>
    <t>H-17 - Como cliente quiero ver los precios y tarifas de los servicios para evaluar si se ajustan a mi presupuesto.</t>
  </si>
  <si>
    <t>P-20 - Desarrollo de sección pública de precios</t>
  </si>
  <si>
    <t>Diseñar la sección de precios en la landing</t>
  </si>
  <si>
    <t>Implementar backend/listado de precios</t>
  </si>
  <si>
    <t>Construir vista pública de precios</t>
  </si>
  <si>
    <t>H-19 - Como Jefa de taller, quiero que mis trabajadores solo tengan permitido ciertos accesos del sistema.</t>
  </si>
  <si>
    <t>P-11 - Implementación de autenticación por roles (Jefa, Operaria, Cortadora)</t>
  </si>
  <si>
    <t>Definir roles y permisos por tipo de usuario</t>
  </si>
  <si>
    <t>Implementar lógica de autenticación en backend</t>
  </si>
  <si>
    <t>Implementar control de acceso por rol</t>
  </si>
  <si>
    <t>P-12 - Configuración recuperacion de login con correo</t>
  </si>
  <si>
    <t>Configurar servicio de envío de correo</t>
  </si>
  <si>
    <t>Implementar endpoint de recuperación de contraseña</t>
  </si>
  <si>
    <t>Construir flujo de recuperación en frontend</t>
  </si>
  <si>
    <t>Infraestructura de base de datos (sin historia de usuario asociada)</t>
  </si>
  <si>
    <t>P-9 - Diseño del esquema relacional de la base de datos</t>
  </si>
  <si>
    <t>Modelado entidades y relaciones</t>
  </si>
  <si>
    <t>Crear tablas y relaciones en la base de datos</t>
  </si>
  <si>
    <t>Validar integridad y constraints</t>
  </si>
  <si>
    <t>P-10 - Configuración de conexión con la BD</t>
  </si>
  <si>
    <t>Configurar variables de entorno y credenciales</t>
  </si>
  <si>
    <t>Implementar conector de base de datos en el backend</t>
  </si>
  <si>
    <t>Probar conexión y manejo de errores</t>
  </si>
  <si>
    <t>Validación con cliente y validaciones (sin historia de usuario asociada)</t>
  </si>
  <si>
    <t>P-19 - Reunión de avance y validación con el cliente (Sprint 1)</t>
  </si>
  <si>
    <t>Validacion sprint review con cliente</t>
  </si>
  <si>
    <t>Reunion sprint review con cliente</t>
  </si>
  <si>
    <t>P-18 - Pruebas unitarias e integración de los módulos del Sprint 1</t>
  </si>
  <si>
    <t>Desarrollo de pruebas unitarias</t>
  </si>
  <si>
    <t>Desarrollo de pruebas de integración</t>
  </si>
  <si>
    <t>TOTAL</t>
  </si>
  <si>
    <t>RESTANTE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</si>
</sst>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i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/>
    </xf>
    <xf borderId="0" fillId="3" fontId="2" numFmtId="0" xfId="0" applyFill="1" applyFont="1"/>
    <xf borderId="0" fillId="4" fontId="3" numFmtId="0" xfId="0" applyAlignment="1" applyFill="1" applyFont="1">
      <alignment readingOrder="0"/>
    </xf>
    <xf borderId="0" fillId="4" fontId="3" numFmtId="0" xfId="0" applyFill="1" applyFont="1"/>
    <xf borderId="0" fillId="0" fontId="4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0" fontId="3" numFmtId="0" xfId="0" applyFont="1"/>
    <xf borderId="0" fillId="6" fontId="3" numFmtId="0" xfId="0" applyFill="1" applyFont="1"/>
    <xf borderId="0" fillId="7" fontId="2" numFmtId="0" xfId="0" applyFill="1" applyFont="1"/>
    <xf borderId="0" fillId="6" fontId="3" numFmtId="0" xfId="0" applyAlignment="1" applyFill="1" applyFont="1">
      <alignment readingOrder="0"/>
    </xf>
    <xf borderId="0" fillId="4" fontId="5" numFmtId="0" xfId="0" applyAlignment="1" applyFill="1" applyFont="1">
      <alignment readingOrder="0" shrinkToFit="0" wrapText="1"/>
    </xf>
    <xf borderId="0" fillId="3" fontId="2" numFmtId="0" xfId="0" applyAlignment="1" applyFill="1" applyFont="1">
      <alignment horizontal="right" readingOrder="0"/>
    </xf>
    <xf borderId="0" fillId="3" fontId="2" numFmtId="0" xfId="0" applyAlignment="1" applyFill="1" applyFont="1">
      <alignment horizontal="left" readingOrder="0"/>
    </xf>
  </cellXfs>
  <cellStyles count="1">
    <cellStyle xfId="0" name="Normal" builtinId="0"/>
  </cellStyles>
  <dxfs count="3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6.38"/>
    <col customWidth="1" min="2" max="2" width="10.25"/>
    <col customWidth="1" min="3" max="3" width="12.63"/>
    <col customWidth="1" min="4" max="4" width="8.38"/>
    <col customWidth="1" min="5" max="13" width="5.0"/>
    <col customWidth="1" min="14" max="32" width="5.88"/>
    <col customWidth="1" min="33" max="33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2" t="s">
        <v>33</v>
      </c>
      <c r="B2" s="3">
        <f>SUM(D4:D6)</f>
        <v>15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5" t="s">
        <v>34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>
      <c r="A4" s="7" t="s">
        <v>35</v>
      </c>
      <c r="C4" s="8" t="s">
        <v>36</v>
      </c>
      <c r="D4" s="9">
        <v>5.0</v>
      </c>
      <c r="E4" s="10">
        <f t="shared" ref="E4:N4" si="1">D4-0.5</f>
        <v>4.5</v>
      </c>
      <c r="F4" s="10">
        <f t="shared" si="1"/>
        <v>4</v>
      </c>
      <c r="G4" s="10">
        <f t="shared" si="1"/>
        <v>3.5</v>
      </c>
      <c r="H4" s="10">
        <f t="shared" si="1"/>
        <v>3</v>
      </c>
      <c r="I4" s="10">
        <f t="shared" si="1"/>
        <v>2.5</v>
      </c>
      <c r="J4" s="10">
        <f t="shared" si="1"/>
        <v>2</v>
      </c>
      <c r="K4" s="10">
        <f t="shared" si="1"/>
        <v>1.5</v>
      </c>
      <c r="L4" s="10">
        <f t="shared" si="1"/>
        <v>1</v>
      </c>
      <c r="M4" s="10">
        <f t="shared" si="1"/>
        <v>0.5</v>
      </c>
      <c r="N4" s="10">
        <f t="shared" si="1"/>
        <v>0</v>
      </c>
      <c r="S4" s="11"/>
      <c r="AG4" s="12">
        <f t="shared" ref="AG4:AG6" si="3">MIN(A4:AF4)</f>
        <v>0</v>
      </c>
    </row>
    <row r="5">
      <c r="A5" s="7" t="s">
        <v>37</v>
      </c>
      <c r="C5" s="8" t="s">
        <v>36</v>
      </c>
      <c r="D5" s="9">
        <v>5.0</v>
      </c>
      <c r="N5" s="10">
        <f t="shared" ref="N5:N6" si="4">D5-0</f>
        <v>5</v>
      </c>
      <c r="O5" s="10">
        <f t="shared" ref="O5:S5" si="2">N5-1</f>
        <v>4</v>
      </c>
      <c r="P5" s="10">
        <f t="shared" si="2"/>
        <v>3</v>
      </c>
      <c r="Q5" s="10">
        <f t="shared" si="2"/>
        <v>2</v>
      </c>
      <c r="R5" s="10">
        <f t="shared" si="2"/>
        <v>1</v>
      </c>
      <c r="S5" s="11">
        <f t="shared" si="2"/>
        <v>0</v>
      </c>
      <c r="AG5" s="12">
        <f t="shared" si="3"/>
        <v>0</v>
      </c>
    </row>
    <row r="6">
      <c r="A6" s="7" t="s">
        <v>38</v>
      </c>
      <c r="C6" s="8" t="s">
        <v>36</v>
      </c>
      <c r="D6" s="9">
        <v>5.0</v>
      </c>
      <c r="N6" s="10">
        <f t="shared" si="4"/>
        <v>5</v>
      </c>
      <c r="O6" s="10">
        <f t="shared" ref="O6:S6" si="5">N6-1</f>
        <v>4</v>
      </c>
      <c r="P6" s="10">
        <f t="shared" si="5"/>
        <v>3</v>
      </c>
      <c r="Q6" s="10">
        <f t="shared" si="5"/>
        <v>2</v>
      </c>
      <c r="R6" s="10">
        <f t="shared" si="5"/>
        <v>1</v>
      </c>
      <c r="S6" s="11">
        <f t="shared" si="5"/>
        <v>0</v>
      </c>
      <c r="AG6" s="12">
        <f t="shared" si="3"/>
        <v>0</v>
      </c>
    </row>
    <row r="7">
      <c r="A7" s="2" t="s">
        <v>39</v>
      </c>
      <c r="B7" s="3">
        <f>SUM(D9:D15)</f>
        <v>30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>
      <c r="A8" s="5" t="s">
        <v>40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>
      <c r="A9" s="7" t="s">
        <v>41</v>
      </c>
      <c r="C9" s="8" t="s">
        <v>36</v>
      </c>
      <c r="D9" s="9">
        <v>5.0</v>
      </c>
      <c r="E9" s="10">
        <f t="shared" ref="E9:E11" si="6">D9-2</f>
        <v>3</v>
      </c>
      <c r="F9" s="10">
        <f>E9-3</f>
        <v>0</v>
      </c>
      <c r="G9" s="11"/>
      <c r="AG9" s="12">
        <f t="shared" ref="AG9:AG11" si="8">MIN(A9:AF9)</f>
        <v>0</v>
      </c>
    </row>
    <row r="10">
      <c r="A10" s="7" t="s">
        <v>42</v>
      </c>
      <c r="C10" s="8" t="s">
        <v>36</v>
      </c>
      <c r="D10" s="9">
        <v>5.0</v>
      </c>
      <c r="E10" s="10">
        <f t="shared" si="6"/>
        <v>3</v>
      </c>
      <c r="F10" s="10">
        <f t="shared" ref="F10:G10" si="7">E10-1.5</f>
        <v>1.5</v>
      </c>
      <c r="G10" s="11">
        <f t="shared" si="7"/>
        <v>0</v>
      </c>
      <c r="AG10" s="12">
        <f t="shared" si="8"/>
        <v>0</v>
      </c>
    </row>
    <row r="11">
      <c r="A11" s="7" t="s">
        <v>43</v>
      </c>
      <c r="C11" s="8" t="s">
        <v>36</v>
      </c>
      <c r="D11" s="9">
        <v>5.0</v>
      </c>
      <c r="E11" s="10">
        <f t="shared" si="6"/>
        <v>3</v>
      </c>
      <c r="F11" s="10">
        <f>E11-3</f>
        <v>0</v>
      </c>
      <c r="G11" s="11"/>
      <c r="AG11" s="12">
        <f t="shared" si="8"/>
        <v>0</v>
      </c>
    </row>
    <row r="12">
      <c r="A12" s="5" t="s">
        <v>44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>
      <c r="A13" s="7" t="s">
        <v>45</v>
      </c>
      <c r="C13" s="8" t="s">
        <v>36</v>
      </c>
      <c r="D13" s="9">
        <v>5.0</v>
      </c>
      <c r="E13" s="10">
        <f>D13-1</f>
        <v>4</v>
      </c>
      <c r="F13" s="10">
        <f t="shared" ref="F13:M13" si="9">E13-0.5</f>
        <v>3.5</v>
      </c>
      <c r="G13" s="10">
        <f t="shared" si="9"/>
        <v>3</v>
      </c>
      <c r="H13" s="10">
        <f t="shared" si="9"/>
        <v>2.5</v>
      </c>
      <c r="I13" s="10">
        <f t="shared" si="9"/>
        <v>2</v>
      </c>
      <c r="J13" s="10">
        <f t="shared" si="9"/>
        <v>1.5</v>
      </c>
      <c r="K13" s="10">
        <f t="shared" si="9"/>
        <v>1</v>
      </c>
      <c r="L13" s="10">
        <f t="shared" si="9"/>
        <v>0.5</v>
      </c>
      <c r="M13" s="11">
        <f t="shared" si="9"/>
        <v>0</v>
      </c>
      <c r="AG13" s="12">
        <f t="shared" ref="AG13:AG15" si="11">MIN(A13:AF13)</f>
        <v>0</v>
      </c>
    </row>
    <row r="14">
      <c r="A14" s="7" t="s">
        <v>46</v>
      </c>
      <c r="C14" s="8" t="s">
        <v>36</v>
      </c>
      <c r="D14" s="9">
        <v>5.0</v>
      </c>
      <c r="E14" s="10">
        <f t="shared" ref="E14:E15" si="12">D14-2</f>
        <v>3</v>
      </c>
      <c r="F14" s="10">
        <f t="shared" ref="F14:K14" si="10">E14-0.5</f>
        <v>2.5</v>
      </c>
      <c r="G14" s="10">
        <f t="shared" si="10"/>
        <v>2</v>
      </c>
      <c r="H14" s="10">
        <f t="shared" si="10"/>
        <v>1.5</v>
      </c>
      <c r="I14" s="10">
        <f t="shared" si="10"/>
        <v>1</v>
      </c>
      <c r="J14" s="10">
        <f t="shared" si="10"/>
        <v>0.5</v>
      </c>
      <c r="K14" s="10">
        <f t="shared" si="10"/>
        <v>0</v>
      </c>
      <c r="M14" s="13"/>
      <c r="AG14" s="12">
        <f t="shared" si="11"/>
        <v>0</v>
      </c>
    </row>
    <row r="15">
      <c r="A15" s="7" t="s">
        <v>47</v>
      </c>
      <c r="C15" s="8" t="s">
        <v>36</v>
      </c>
      <c r="D15" s="9">
        <v>5.0</v>
      </c>
      <c r="E15" s="10">
        <f t="shared" si="12"/>
        <v>3</v>
      </c>
      <c r="F15" s="10">
        <f t="shared" ref="F15:K15" si="13">E15-0.5</f>
        <v>2.5</v>
      </c>
      <c r="G15" s="10">
        <f t="shared" si="13"/>
        <v>2</v>
      </c>
      <c r="H15" s="10">
        <f t="shared" si="13"/>
        <v>1.5</v>
      </c>
      <c r="I15" s="10">
        <f t="shared" si="13"/>
        <v>1</v>
      </c>
      <c r="J15" s="10">
        <f t="shared" si="13"/>
        <v>0.5</v>
      </c>
      <c r="K15" s="10">
        <f t="shared" si="13"/>
        <v>0</v>
      </c>
      <c r="M15" s="11"/>
      <c r="AG15" s="12">
        <f t="shared" si="11"/>
        <v>0</v>
      </c>
    </row>
    <row r="16">
      <c r="A16" s="2" t="s">
        <v>48</v>
      </c>
      <c r="B16" s="3">
        <f>SUM(D18:D20)</f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>
      <c r="A17" s="5" t="s">
        <v>49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>
      <c r="A18" s="7" t="s">
        <v>50</v>
      </c>
      <c r="C18" s="8" t="s">
        <v>36</v>
      </c>
      <c r="D18" s="9">
        <v>5.0</v>
      </c>
      <c r="J18" s="8">
        <f>5-0</f>
        <v>5</v>
      </c>
      <c r="K18" s="8">
        <f>J18-1</f>
        <v>4</v>
      </c>
      <c r="L18" s="8">
        <f t="shared" ref="L18:M18" si="14">K18-0</f>
        <v>4</v>
      </c>
      <c r="M18" s="8">
        <f t="shared" si="14"/>
        <v>4</v>
      </c>
      <c r="N18" s="8">
        <f>M18-1</f>
        <v>3</v>
      </c>
      <c r="O18" s="8">
        <f>N18-0</f>
        <v>3</v>
      </c>
      <c r="P18" s="8">
        <f>O18-1.5</f>
        <v>1.5</v>
      </c>
      <c r="Q18" s="8">
        <f t="shared" ref="Q18:R18" si="15">P18-0</f>
        <v>1.5</v>
      </c>
      <c r="R18" s="8">
        <f t="shared" si="15"/>
        <v>1.5</v>
      </c>
      <c r="S18" s="11">
        <f>R18-1.5</f>
        <v>0</v>
      </c>
      <c r="AG18" s="12">
        <f t="shared" ref="AG18:AG20" si="16">MIN(A18:AF18)</f>
        <v>0</v>
      </c>
    </row>
    <row r="19">
      <c r="A19" s="7" t="s">
        <v>51</v>
      </c>
      <c r="C19" s="8" t="s">
        <v>36</v>
      </c>
      <c r="D19" s="9">
        <v>5.0</v>
      </c>
      <c r="E19" s="8">
        <f t="shared" ref="E19:E20" si="17">5-0</f>
        <v>5</v>
      </c>
      <c r="F19" s="8">
        <f t="shared" ref="F19:F20" si="18">E19-1</f>
        <v>4</v>
      </c>
      <c r="G19" s="8">
        <f t="shared" ref="G19:G20" si="19">F19-1.5</f>
        <v>2.5</v>
      </c>
      <c r="H19" s="8">
        <f t="shared" ref="H19:H20" si="20">G19-1</f>
        <v>1.5</v>
      </c>
      <c r="I19" s="8">
        <f t="shared" ref="I19:I20" si="21">H19-1.5</f>
        <v>0</v>
      </c>
      <c r="S19" s="11"/>
      <c r="AG19" s="12">
        <f t="shared" si="16"/>
        <v>0</v>
      </c>
    </row>
    <row r="20">
      <c r="A20" s="7" t="s">
        <v>52</v>
      </c>
      <c r="C20" s="8" t="s">
        <v>36</v>
      </c>
      <c r="D20" s="9">
        <v>5.0</v>
      </c>
      <c r="E20" s="8">
        <f t="shared" si="17"/>
        <v>5</v>
      </c>
      <c r="F20" s="8">
        <f t="shared" si="18"/>
        <v>4</v>
      </c>
      <c r="G20" s="8">
        <f t="shared" si="19"/>
        <v>2.5</v>
      </c>
      <c r="H20" s="8">
        <f t="shared" si="20"/>
        <v>1.5</v>
      </c>
      <c r="I20" s="8">
        <f t="shared" si="21"/>
        <v>0</v>
      </c>
      <c r="S20" s="11"/>
      <c r="AG20" s="12">
        <f t="shared" si="16"/>
        <v>0</v>
      </c>
    </row>
    <row r="21">
      <c r="A21" s="2" t="s">
        <v>53</v>
      </c>
      <c r="B21" s="3">
        <f>ROUND(SUM(D23:D25),0)</f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>
      <c r="A22" s="14" t="s">
        <v>54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>
      <c r="A23" s="7" t="s">
        <v>55</v>
      </c>
      <c r="C23" s="8" t="s">
        <v>36</v>
      </c>
      <c r="D23" s="9">
        <v>3.33</v>
      </c>
      <c r="Y23" s="10">
        <f t="shared" ref="Y23:Y25" si="22">3.33-1</f>
        <v>2.33</v>
      </c>
      <c r="Z23" s="10">
        <f t="shared" ref="Z23:Z25" si="23">3.33-2.33</f>
        <v>1</v>
      </c>
      <c r="AA23" s="11">
        <f t="shared" ref="AA23:AA25" si="24">3.33-3.33</f>
        <v>0</v>
      </c>
      <c r="AG23" s="12">
        <f t="shared" ref="AG23:AG25" si="25">MIN(A23:AF23)</f>
        <v>0</v>
      </c>
    </row>
    <row r="24">
      <c r="A24" s="7" t="s">
        <v>56</v>
      </c>
      <c r="C24" s="8" t="s">
        <v>36</v>
      </c>
      <c r="D24" s="9">
        <v>3.33</v>
      </c>
      <c r="Y24" s="10">
        <f t="shared" si="22"/>
        <v>2.33</v>
      </c>
      <c r="Z24" s="10">
        <f t="shared" si="23"/>
        <v>1</v>
      </c>
      <c r="AA24" s="11">
        <f t="shared" si="24"/>
        <v>0</v>
      </c>
      <c r="AG24" s="12">
        <f t="shared" si="25"/>
        <v>0</v>
      </c>
    </row>
    <row r="25">
      <c r="A25" s="7" t="s">
        <v>57</v>
      </c>
      <c r="C25" s="8" t="s">
        <v>36</v>
      </c>
      <c r="D25" s="9">
        <v>3.33</v>
      </c>
      <c r="Y25" s="10">
        <f t="shared" si="22"/>
        <v>2.33</v>
      </c>
      <c r="Z25" s="10">
        <f t="shared" si="23"/>
        <v>1</v>
      </c>
      <c r="AA25" s="11">
        <f t="shared" si="24"/>
        <v>0</v>
      </c>
      <c r="AG25" s="12">
        <f t="shared" si="25"/>
        <v>0</v>
      </c>
    </row>
    <row r="26">
      <c r="A26" s="2" t="s">
        <v>58</v>
      </c>
      <c r="B26" s="3">
        <f>ROUND(SUM(D28:D33),0)</f>
        <v>15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>
      <c r="A27" s="14" t="s">
        <v>59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>
      <c r="A28" s="7" t="s">
        <v>60</v>
      </c>
      <c r="C28" s="8" t="s">
        <v>36</v>
      </c>
      <c r="D28" s="9">
        <v>2.5</v>
      </c>
      <c r="E28" s="8">
        <f t="shared" ref="E28:E29" si="26">2.5-0</f>
        <v>2.5</v>
      </c>
      <c r="F28" s="8">
        <f t="shared" ref="F28:F29" si="27">2.5-1</f>
        <v>1.5</v>
      </c>
      <c r="G28" s="13">
        <f t="shared" ref="G28:G29" si="28">F28-1.5</f>
        <v>0</v>
      </c>
      <c r="AG28" s="12">
        <f t="shared" ref="AG28:AG29" si="29">MIN(A28:AF28)</f>
        <v>0</v>
      </c>
    </row>
    <row r="29">
      <c r="A29" s="7" t="s">
        <v>61</v>
      </c>
      <c r="C29" s="8" t="s">
        <v>36</v>
      </c>
      <c r="D29" s="9">
        <v>2.5</v>
      </c>
      <c r="E29" s="8">
        <f t="shared" si="26"/>
        <v>2.5</v>
      </c>
      <c r="F29" s="8">
        <f t="shared" si="27"/>
        <v>1.5</v>
      </c>
      <c r="G29" s="13">
        <f t="shared" si="28"/>
        <v>0</v>
      </c>
      <c r="AG29" s="12">
        <f t="shared" si="29"/>
        <v>0</v>
      </c>
    </row>
    <row r="30">
      <c r="A30" s="14" t="s">
        <v>62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>
      <c r="A31" s="7" t="s">
        <v>63</v>
      </c>
      <c r="C31" s="8" t="s">
        <v>36</v>
      </c>
      <c r="D31" s="9">
        <v>3.33</v>
      </c>
      <c r="E31" s="8">
        <f t="shared" ref="E31:E33" si="30">5-0</f>
        <v>5</v>
      </c>
      <c r="F31" s="8">
        <f t="shared" ref="F31:F33" si="31">5-2.5</f>
        <v>2.5</v>
      </c>
      <c r="G31" s="13">
        <f t="shared" ref="G31:G33" si="32">F31-2.5</f>
        <v>0</v>
      </c>
      <c r="AG31" s="12">
        <f t="shared" ref="AG31:AG33" si="33">MIN(A31:AF31)</f>
        <v>0</v>
      </c>
    </row>
    <row r="32">
      <c r="A32" s="7" t="s">
        <v>64</v>
      </c>
      <c r="C32" s="8" t="s">
        <v>36</v>
      </c>
      <c r="D32" s="9">
        <v>3.33</v>
      </c>
      <c r="E32" s="8">
        <f t="shared" si="30"/>
        <v>5</v>
      </c>
      <c r="F32" s="8">
        <f t="shared" si="31"/>
        <v>2.5</v>
      </c>
      <c r="G32" s="13">
        <f t="shared" si="32"/>
        <v>0</v>
      </c>
      <c r="AG32" s="12">
        <f t="shared" si="33"/>
        <v>0</v>
      </c>
    </row>
    <row r="33">
      <c r="A33" s="7" t="s">
        <v>65</v>
      </c>
      <c r="C33" s="8" t="s">
        <v>36</v>
      </c>
      <c r="D33" s="9">
        <v>3.33</v>
      </c>
      <c r="E33" s="8">
        <f t="shared" si="30"/>
        <v>5</v>
      </c>
      <c r="F33" s="8">
        <f t="shared" si="31"/>
        <v>2.5</v>
      </c>
      <c r="G33" s="13">
        <f t="shared" si="32"/>
        <v>0</v>
      </c>
      <c r="AG33" s="12">
        <f t="shared" si="33"/>
        <v>0</v>
      </c>
    </row>
    <row r="34">
      <c r="A34" s="2" t="s">
        <v>66</v>
      </c>
      <c r="B34" s="3">
        <f>SUM(D36:D38)</f>
        <v>15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>
      <c r="A35" s="14" t="s">
        <v>67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>
      <c r="A36" s="7" t="s">
        <v>68</v>
      </c>
      <c r="C36" s="8" t="s">
        <v>36</v>
      </c>
      <c r="D36" s="9">
        <v>5.0</v>
      </c>
      <c r="E36" s="8">
        <f t="shared" ref="E36:E38" si="35">5-0</f>
        <v>5</v>
      </c>
      <c r="F36" s="8">
        <f t="shared" ref="F36:G36" si="34">E36-2.5</f>
        <v>2.5</v>
      </c>
      <c r="G36" s="13">
        <f t="shared" si="34"/>
        <v>0</v>
      </c>
      <c r="AG36" s="12">
        <f t="shared" ref="AG36:AG38" si="37">MIN(A36:AF36)</f>
        <v>0</v>
      </c>
    </row>
    <row r="37">
      <c r="A37" s="7" t="s">
        <v>69</v>
      </c>
      <c r="C37" s="8" t="s">
        <v>36</v>
      </c>
      <c r="D37" s="9">
        <v>5.0</v>
      </c>
      <c r="E37" s="8">
        <f t="shared" si="35"/>
        <v>5</v>
      </c>
      <c r="F37" s="8">
        <f t="shared" ref="F37:G37" si="36">E37-2.5</f>
        <v>2.5</v>
      </c>
      <c r="G37" s="13">
        <f t="shared" si="36"/>
        <v>0</v>
      </c>
      <c r="AG37" s="12">
        <f t="shared" si="37"/>
        <v>0</v>
      </c>
    </row>
    <row r="38">
      <c r="A38" s="7" t="s">
        <v>70</v>
      </c>
      <c r="C38" s="8" t="s">
        <v>36</v>
      </c>
      <c r="D38" s="9">
        <v>5.0</v>
      </c>
      <c r="E38" s="8">
        <f t="shared" si="35"/>
        <v>5</v>
      </c>
      <c r="F38" s="8">
        <f t="shared" ref="F38:G38" si="38">E38-2.5</f>
        <v>2.5</v>
      </c>
      <c r="G38" s="13">
        <f t="shared" si="38"/>
        <v>0</v>
      </c>
      <c r="AG38" s="12">
        <f t="shared" si="37"/>
        <v>0</v>
      </c>
    </row>
    <row r="39">
      <c r="A39" s="2" t="s">
        <v>71</v>
      </c>
      <c r="B39" s="3">
        <f>ROUND(SUM(D41:D43),0)</f>
        <v>10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>
      <c r="A40" s="14" t="s">
        <v>72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>
      <c r="A41" s="7" t="s">
        <v>73</v>
      </c>
      <c r="C41" s="8" t="s">
        <v>36</v>
      </c>
      <c r="D41" s="9">
        <v>3.33</v>
      </c>
      <c r="O41" s="8">
        <f t="shared" ref="O41:O43" si="40">3.33-0</f>
        <v>3.33</v>
      </c>
      <c r="P41" s="8">
        <f t="shared" ref="P41:R41" si="39">O41-1</f>
        <v>2.33</v>
      </c>
      <c r="Q41" s="8">
        <f t="shared" si="39"/>
        <v>1.33</v>
      </c>
      <c r="R41" s="8">
        <f t="shared" si="39"/>
        <v>0.33</v>
      </c>
      <c r="S41" s="11">
        <f>R41-0.33</f>
        <v>0</v>
      </c>
      <c r="AG41" s="12">
        <f t="shared" ref="AG41:AG43" si="42">MIN(A41:AF41)</f>
        <v>0</v>
      </c>
    </row>
    <row r="42">
      <c r="A42" s="7" t="s">
        <v>74</v>
      </c>
      <c r="C42" s="8" t="s">
        <v>36</v>
      </c>
      <c r="D42" s="9">
        <v>3.33</v>
      </c>
      <c r="O42" s="8">
        <f t="shared" si="40"/>
        <v>3.33</v>
      </c>
      <c r="P42" s="8">
        <f t="shared" ref="P42:Q42" si="41">O42-1</f>
        <v>2.33</v>
      </c>
      <c r="Q42" s="8">
        <f t="shared" si="41"/>
        <v>1.33</v>
      </c>
      <c r="R42" s="8">
        <f t="shared" ref="R42:R43" si="44">Q42-1.33</f>
        <v>0</v>
      </c>
      <c r="S42" s="11"/>
      <c r="AG42" s="12">
        <f t="shared" si="42"/>
        <v>0</v>
      </c>
    </row>
    <row r="43">
      <c r="A43" s="7" t="s">
        <v>75</v>
      </c>
      <c r="C43" s="8" t="s">
        <v>36</v>
      </c>
      <c r="D43" s="9">
        <v>3.33</v>
      </c>
      <c r="O43" s="8">
        <f t="shared" si="40"/>
        <v>3.33</v>
      </c>
      <c r="P43" s="8">
        <f t="shared" ref="P43:Q43" si="43">O43-1</f>
        <v>2.33</v>
      </c>
      <c r="Q43" s="8">
        <f t="shared" si="43"/>
        <v>1.33</v>
      </c>
      <c r="R43" s="8">
        <f t="shared" si="44"/>
        <v>0</v>
      </c>
      <c r="S43" s="11"/>
      <c r="AG43" s="12">
        <f t="shared" si="42"/>
        <v>0</v>
      </c>
    </row>
    <row r="44">
      <c r="A44" s="2" t="s">
        <v>76</v>
      </c>
      <c r="B44" s="3">
        <f>SUM(D46:D48)</f>
        <v>15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>
      <c r="A45" s="14" t="s">
        <v>77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>
      <c r="A46" s="7" t="s">
        <v>78</v>
      </c>
      <c r="C46" s="8" t="s">
        <v>36</v>
      </c>
      <c r="D46" s="9">
        <v>5.0</v>
      </c>
      <c r="S46" s="8">
        <f t="shared" ref="S46:S48" si="46">5-0</f>
        <v>5</v>
      </c>
      <c r="T46" s="8">
        <f t="shared" ref="T46:T48" si="47">S46-1</f>
        <v>4</v>
      </c>
      <c r="U46" s="8">
        <f>T46-1.5</f>
        <v>2.5</v>
      </c>
      <c r="V46" s="8">
        <f t="shared" ref="V46:W46" si="45">U46-1</f>
        <v>1.5</v>
      </c>
      <c r="W46" s="8">
        <f t="shared" si="45"/>
        <v>0.5</v>
      </c>
      <c r="X46" s="13">
        <f>W46-0.5</f>
        <v>0</v>
      </c>
      <c r="AG46" s="12">
        <f t="shared" ref="AG46:AG48" si="49">MIN(A46:AF46)</f>
        <v>0</v>
      </c>
    </row>
    <row r="47">
      <c r="A47" s="7" t="s">
        <v>79</v>
      </c>
      <c r="C47" s="8" t="s">
        <v>36</v>
      </c>
      <c r="D47" s="9">
        <v>5.0</v>
      </c>
      <c r="S47" s="8">
        <f t="shared" si="46"/>
        <v>5</v>
      </c>
      <c r="T47" s="8">
        <f t="shared" si="47"/>
        <v>4</v>
      </c>
      <c r="U47" s="8">
        <f t="shared" ref="U47:U48" si="50">T47-1</f>
        <v>3</v>
      </c>
      <c r="V47" s="8">
        <f t="shared" ref="V47:W47" si="48">U47-1.5</f>
        <v>1.5</v>
      </c>
      <c r="W47" s="8">
        <f t="shared" si="48"/>
        <v>0</v>
      </c>
      <c r="X47" s="11"/>
      <c r="AG47" s="12">
        <f t="shared" si="49"/>
        <v>0</v>
      </c>
    </row>
    <row r="48">
      <c r="A48" s="7" t="s">
        <v>80</v>
      </c>
      <c r="C48" s="8" t="s">
        <v>36</v>
      </c>
      <c r="D48" s="9">
        <v>5.0</v>
      </c>
      <c r="S48" s="8">
        <f t="shared" si="46"/>
        <v>5</v>
      </c>
      <c r="T48" s="8">
        <f t="shared" si="47"/>
        <v>4</v>
      </c>
      <c r="U48" s="8">
        <f t="shared" si="50"/>
        <v>3</v>
      </c>
      <c r="V48" s="8">
        <f t="shared" ref="V48:W48" si="51">U48-1.5</f>
        <v>1.5</v>
      </c>
      <c r="W48" s="8">
        <f t="shared" si="51"/>
        <v>0</v>
      </c>
      <c r="X48" s="11"/>
      <c r="AG48" s="12">
        <f t="shared" si="49"/>
        <v>0</v>
      </c>
    </row>
    <row r="49">
      <c r="A49" s="2" t="s">
        <v>81</v>
      </c>
      <c r="B49" s="3">
        <f>ROUND(SUM(D51:D57),0)</f>
        <v>25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>
      <c r="A50" s="14" t="s">
        <v>82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>
      <c r="A51" s="7" t="s">
        <v>83</v>
      </c>
      <c r="C51" s="8" t="s">
        <v>36</v>
      </c>
      <c r="D51" s="9">
        <v>5.0</v>
      </c>
      <c r="E51" s="8">
        <f t="shared" ref="E51:E52" si="52">5-0</f>
        <v>5</v>
      </c>
      <c r="F51" s="8">
        <f t="shared" ref="F51:F52" si="53">E51-1</f>
        <v>4</v>
      </c>
      <c r="G51" s="8">
        <f t="shared" ref="G51:G52" si="54">F51-0</f>
        <v>4</v>
      </c>
      <c r="H51" s="8">
        <f t="shared" ref="H51:H52" si="55">G51-1.5</f>
        <v>2.5</v>
      </c>
      <c r="I51" s="8">
        <f t="shared" ref="I51:I52" si="56">H51-0</f>
        <v>2.5</v>
      </c>
      <c r="J51" s="8">
        <f t="shared" ref="J51:J52" si="57">I51-2</f>
        <v>0.5</v>
      </c>
      <c r="K51" s="8">
        <f t="shared" ref="K51:K52" si="58">J51-0.5</f>
        <v>0</v>
      </c>
      <c r="N51" s="11"/>
      <c r="AG51" s="12">
        <f t="shared" ref="AG51:AG53" si="59">MIN(A51:AF51)</f>
        <v>0</v>
      </c>
    </row>
    <row r="52">
      <c r="A52" s="7" t="s">
        <v>84</v>
      </c>
      <c r="C52" s="8" t="s">
        <v>36</v>
      </c>
      <c r="D52" s="9">
        <v>5.0</v>
      </c>
      <c r="E52" s="8">
        <f t="shared" si="52"/>
        <v>5</v>
      </c>
      <c r="F52" s="8">
        <f t="shared" si="53"/>
        <v>4</v>
      </c>
      <c r="G52" s="8">
        <f t="shared" si="54"/>
        <v>4</v>
      </c>
      <c r="H52" s="8">
        <f t="shared" si="55"/>
        <v>2.5</v>
      </c>
      <c r="I52" s="8">
        <f t="shared" si="56"/>
        <v>2.5</v>
      </c>
      <c r="J52" s="8">
        <f t="shared" si="57"/>
        <v>0.5</v>
      </c>
      <c r="K52" s="8">
        <f t="shared" si="58"/>
        <v>0</v>
      </c>
      <c r="N52" s="11"/>
      <c r="AG52" s="12">
        <f t="shared" si="59"/>
        <v>0</v>
      </c>
    </row>
    <row r="53">
      <c r="A53" s="7" t="s">
        <v>85</v>
      </c>
      <c r="C53" s="8" t="s">
        <v>36</v>
      </c>
      <c r="D53" s="9">
        <v>5.0</v>
      </c>
      <c r="H53" s="8">
        <f>D53-0</f>
        <v>5</v>
      </c>
      <c r="I53" s="8">
        <f>H53-1.5</f>
        <v>3.5</v>
      </c>
      <c r="J53" s="8">
        <f>I53-0</f>
        <v>3.5</v>
      </c>
      <c r="K53" s="8">
        <f>J53-1.5</f>
        <v>2</v>
      </c>
      <c r="L53" s="8">
        <f>K53-0.5</f>
        <v>1.5</v>
      </c>
      <c r="M53" s="8">
        <f>L53-1</f>
        <v>0.5</v>
      </c>
      <c r="N53" s="11">
        <f>M53-0.5</f>
        <v>0</v>
      </c>
      <c r="AG53" s="12">
        <f t="shared" si="59"/>
        <v>0</v>
      </c>
    </row>
    <row r="54">
      <c r="A54" s="14" t="s">
        <v>86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>
      <c r="A55" s="7" t="s">
        <v>87</v>
      </c>
      <c r="C55" s="8" t="s">
        <v>36</v>
      </c>
      <c r="D55" s="9">
        <v>3.33</v>
      </c>
      <c r="AG55" s="12">
        <f t="shared" ref="AG55:AG57" si="60">MIN(A55:AF55)</f>
        <v>3.33</v>
      </c>
    </row>
    <row r="56">
      <c r="A56" s="7" t="s">
        <v>88</v>
      </c>
      <c r="C56" s="8" t="s">
        <v>36</v>
      </c>
      <c r="D56" s="9">
        <v>3.33</v>
      </c>
      <c r="AG56" s="12">
        <f t="shared" si="60"/>
        <v>3.33</v>
      </c>
    </row>
    <row r="57">
      <c r="A57" s="7" t="s">
        <v>89</v>
      </c>
      <c r="C57" s="8" t="s">
        <v>36</v>
      </c>
      <c r="D57" s="9">
        <v>3.33</v>
      </c>
      <c r="AG57" s="12">
        <f t="shared" si="60"/>
        <v>3.33</v>
      </c>
    </row>
    <row r="58">
      <c r="A58" s="2" t="s">
        <v>90</v>
      </c>
      <c r="B58" s="3">
        <f>SUM(D60:D66)</f>
        <v>30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>
      <c r="A59" s="14" t="s">
        <v>91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>
      <c r="A60" s="7" t="s">
        <v>92</v>
      </c>
      <c r="C60" s="8" t="s">
        <v>36</v>
      </c>
      <c r="D60" s="9">
        <v>5.0</v>
      </c>
      <c r="E60" s="8">
        <f t="shared" ref="E60:E62" si="61">5-0</f>
        <v>5</v>
      </c>
      <c r="F60" s="8">
        <f t="shared" ref="F60:F62" si="62">E60-2.5</f>
        <v>2.5</v>
      </c>
      <c r="AA60" s="11">
        <f t="shared" ref="AA60:AA62" si="63">F60-2.5</f>
        <v>0</v>
      </c>
      <c r="AG60" s="12">
        <f t="shared" ref="AG60:AG62" si="64">MIN(A60:AF60)</f>
        <v>0</v>
      </c>
    </row>
    <row r="61">
      <c r="A61" s="7" t="s">
        <v>93</v>
      </c>
      <c r="C61" s="8" t="s">
        <v>36</v>
      </c>
      <c r="D61" s="9">
        <v>5.0</v>
      </c>
      <c r="E61" s="8">
        <f t="shared" si="61"/>
        <v>5</v>
      </c>
      <c r="F61" s="8">
        <f t="shared" si="62"/>
        <v>2.5</v>
      </c>
      <c r="AA61" s="11">
        <f t="shared" si="63"/>
        <v>0</v>
      </c>
      <c r="AG61" s="12">
        <f t="shared" si="64"/>
        <v>0</v>
      </c>
    </row>
    <row r="62">
      <c r="A62" s="7" t="s">
        <v>94</v>
      </c>
      <c r="C62" s="8" t="s">
        <v>36</v>
      </c>
      <c r="D62" s="9">
        <v>5.0</v>
      </c>
      <c r="E62" s="8">
        <f t="shared" si="61"/>
        <v>5</v>
      </c>
      <c r="F62" s="8">
        <f t="shared" si="62"/>
        <v>2.5</v>
      </c>
      <c r="AA62" s="11">
        <f t="shared" si="63"/>
        <v>0</v>
      </c>
      <c r="AG62" s="12">
        <f t="shared" si="64"/>
        <v>0</v>
      </c>
    </row>
    <row r="63">
      <c r="A63" s="14" t="s">
        <v>95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>
      <c r="A64" s="7" t="s">
        <v>96</v>
      </c>
      <c r="C64" s="8" t="s">
        <v>36</v>
      </c>
      <c r="D64" s="9">
        <v>5.0</v>
      </c>
      <c r="E64" s="8">
        <f t="shared" ref="E64:E66" si="65">5-0</f>
        <v>5</v>
      </c>
      <c r="F64" s="13">
        <f t="shared" ref="F64:F66" si="66">E64-5</f>
        <v>0</v>
      </c>
      <c r="AG64" s="12">
        <f t="shared" ref="AG64:AG66" si="67">MIN(A64:AF64)</f>
        <v>0</v>
      </c>
    </row>
    <row r="65">
      <c r="A65" s="7" t="s">
        <v>97</v>
      </c>
      <c r="C65" s="8" t="s">
        <v>36</v>
      </c>
      <c r="D65" s="9">
        <v>5.0</v>
      </c>
      <c r="E65" s="8">
        <f t="shared" si="65"/>
        <v>5</v>
      </c>
      <c r="F65" s="13">
        <f t="shared" si="66"/>
        <v>0</v>
      </c>
      <c r="AG65" s="12">
        <f t="shared" si="67"/>
        <v>0</v>
      </c>
    </row>
    <row r="66">
      <c r="A66" s="7" t="s">
        <v>98</v>
      </c>
      <c r="C66" s="8" t="s">
        <v>36</v>
      </c>
      <c r="D66" s="9">
        <v>5.0</v>
      </c>
      <c r="E66" s="8">
        <f t="shared" si="65"/>
        <v>5</v>
      </c>
      <c r="F66" s="13">
        <f t="shared" si="66"/>
        <v>0</v>
      </c>
      <c r="AG66" s="12">
        <f t="shared" si="67"/>
        <v>0</v>
      </c>
    </row>
    <row r="67">
      <c r="A67" s="2" t="s">
        <v>99</v>
      </c>
      <c r="B67" s="3">
        <f>ROUND(SUM(D69:D73,0),0)</f>
        <v>30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>
      <c r="A68" s="14" t="s">
        <v>100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>
      <c r="A69" s="7" t="s">
        <v>101</v>
      </c>
      <c r="C69" s="8" t="s">
        <v>36</v>
      </c>
      <c r="D69" s="9">
        <v>7.5</v>
      </c>
      <c r="E69" s="8"/>
      <c r="AF69" s="11">
        <f t="shared" ref="AF69:AF70" si="68">D69-7.5</f>
        <v>0</v>
      </c>
      <c r="AG69" s="12">
        <f t="shared" ref="AG69:AG70" si="69">MIN(A69:AF69)</f>
        <v>0</v>
      </c>
    </row>
    <row r="70">
      <c r="A70" s="7" t="s">
        <v>102</v>
      </c>
      <c r="C70" s="8" t="s">
        <v>36</v>
      </c>
      <c r="D70" s="9">
        <v>7.5</v>
      </c>
      <c r="E70" s="8"/>
      <c r="AF70" s="11">
        <f t="shared" si="68"/>
        <v>0</v>
      </c>
      <c r="AG70" s="12">
        <f t="shared" si="69"/>
        <v>0</v>
      </c>
    </row>
    <row r="71">
      <c r="A71" s="14" t="s">
        <v>103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>
      <c r="A72" s="7" t="s">
        <v>104</v>
      </c>
      <c r="C72" s="8" t="s">
        <v>36</v>
      </c>
      <c r="D72" s="9">
        <v>7.5</v>
      </c>
      <c r="AE72" s="8">
        <f t="shared" ref="AE72:AE73" si="70">7.5-0</f>
        <v>7.5</v>
      </c>
      <c r="AF72" s="13">
        <f t="shared" ref="AF72:AF73" si="71">7.5-7.5</f>
        <v>0</v>
      </c>
      <c r="AG72" s="12">
        <f t="shared" ref="AG72:AG73" si="72">MIN(A72:AF72)</f>
        <v>0</v>
      </c>
    </row>
    <row r="73">
      <c r="A73" s="7" t="s">
        <v>105</v>
      </c>
      <c r="C73" s="8" t="s">
        <v>36</v>
      </c>
      <c r="D73" s="9">
        <v>7.5</v>
      </c>
      <c r="AE73" s="8">
        <f t="shared" si="70"/>
        <v>7.5</v>
      </c>
      <c r="AF73" s="13">
        <f t="shared" si="71"/>
        <v>0</v>
      </c>
      <c r="AG73" s="12">
        <f t="shared" si="72"/>
        <v>0</v>
      </c>
    </row>
    <row r="74">
      <c r="A74" s="2"/>
      <c r="B74" s="15" t="s">
        <v>106</v>
      </c>
      <c r="C74" s="16">
        <f>ROUND(SUM(B:B),0)</f>
        <v>210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15" t="s">
        <v>107</v>
      </c>
      <c r="AF74" s="16">
        <f>ROUND(SUM(AG:AG),0)</f>
        <v>10</v>
      </c>
      <c r="AG74" s="3"/>
    </row>
  </sheetData>
  <conditionalFormatting sqref="AF74">
    <cfRule type="cellIs" dxfId="0" priority="1" operator="equal">
      <formula>0</formula>
    </cfRule>
  </conditionalFormatting>
  <conditionalFormatting sqref="AF74">
    <cfRule type="cellIs" dxfId="1" priority="2" operator="equal">
      <formula>0</formula>
    </cfRule>
  </conditionalFormatting>
  <conditionalFormatting sqref="AF74">
    <cfRule type="cellIs" dxfId="2" priority="3" operator="greaterThan">
      <formula>0</formula>
    </cfRule>
  </conditionalFormatting>
  <dataValidations>
    <dataValidation type="list" allowBlank="1" showErrorMessage="1" sqref="C4:C6 C9:C11 C13:C15 C18:C20 C23:C25 C28:C29 C31:C33 C36:C38 C41:C43 C46:C48 C51:C53 C55:C57 C60:C62 C64:C66 C69:C70 C72:C73">
      <formula1>"Sin Empezar,En Progreso,Finalizado"</formula1>
    </dataValidation>
  </dataValidations>
  <drawing r:id="rId1"/>
</worksheet>
</file>