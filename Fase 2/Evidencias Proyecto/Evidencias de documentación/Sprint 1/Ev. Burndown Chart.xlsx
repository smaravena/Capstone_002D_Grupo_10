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rndown Chart - Sprint 1" sheetId="1" r:id="rId5"/>
  </sheets>
  <definedNames/>
  <calcPr/>
</workbook>
</file>

<file path=xl/sharedStrings.xml><?xml version="1.0" encoding="utf-8"?>
<sst xmlns="http://schemas.openxmlformats.org/spreadsheetml/2006/main" count="22" uniqueCount="22">
  <si>
    <t>Dia</t>
  </si>
  <si>
    <t>Pts Ideales Restantes</t>
  </si>
  <si>
    <t>Pts Reales Hechos</t>
  </si>
  <si>
    <t>Pts Totales</t>
  </si>
  <si>
    <t>Dias Totales</t>
  </si>
  <si>
    <t>Pts Ideales</t>
  </si>
  <si>
    <t>Diseño del esquema relacional de la base de datos</t>
  </si>
  <si>
    <t>Configuración de conexión con la BD</t>
  </si>
  <si>
    <t>Implementación de autenticación por roles (Jefa, Operaria, Cortadora)</t>
  </si>
  <si>
    <t>Configuración recuperacion de login con correo</t>
  </si>
  <si>
    <t>Conexion con backend para registro de pedidos</t>
  </si>
  <si>
    <t>Desarrollo del frontend de registro de pedidos</t>
  </si>
  <si>
    <t>Desarrollo de la vista de listado y detalle de pedidos</t>
  </si>
  <si>
    <t>Desarrollo de gestión de tipos de prendas</t>
  </si>
  <si>
    <t>Implementación de estados generales del pedido</t>
  </si>
  <si>
    <t>Pruebas unitarias e integración de los módulos del Sprint 1</t>
  </si>
  <si>
    <t>Reunión de avance y validación con el cliente (Sprint 1)</t>
  </si>
  <si>
    <t>Desarrollo de sección pública de precios</t>
  </si>
  <si>
    <t>Integración de enlaces directos a redes sociales y WhatsApp</t>
  </si>
  <si>
    <t>Vista galería visual de trabajos anteriores (carrusel)</t>
  </si>
  <si>
    <t>Creación de sección de Preguntas Frecuentes (FAQ)</t>
  </si>
  <si>
    <t>Desarrollo vista Landing Page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</si>
</sst>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4285F4"/>
        <bgColor rgb="FF4285F4"/>
      </patternFill>
    </fill>
    <fill>
      <patternFill patternType="solid">
        <fgColor rgb="FFD9EAD3"/>
        <bgColor rgb="FFD9EAD3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theme="6"/>
        <bgColor theme="6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" xfId="0" applyAlignment="1" applyFont="1" applyNumberFormat="1">
      <alignment horizontal="right" vertical="bottom"/>
    </xf>
    <xf borderId="0" fillId="3" fontId="2" numFmtId="0" xfId="0" applyAlignment="1" applyFill="1" applyFont="1">
      <alignment horizontal="right" vertical="bottom"/>
    </xf>
    <xf borderId="0" fillId="4" fontId="2" numFmtId="0" xfId="0" applyAlignment="1" applyFill="1" applyFont="1">
      <alignment horizontal="right" vertical="bottom"/>
    </xf>
    <xf borderId="0" fillId="5" fontId="2" numFmtId="0" xfId="0" applyAlignment="1" applyFill="1" applyFont="1">
      <alignment horizontal="right" vertical="bottom"/>
    </xf>
    <xf borderId="0" fillId="6" fontId="2" numFmtId="0" xfId="0" applyAlignment="1" applyFill="1" applyFont="1">
      <alignment horizontal="right" vertical="bottom"/>
    </xf>
    <xf borderId="0" fillId="7" fontId="2" numFmtId="0" xfId="0" applyAlignment="1" applyFill="1" applyFont="1">
      <alignment horizontal="right" vertical="bottom"/>
    </xf>
    <xf borderId="0" fillId="8" fontId="2" numFmtId="0" xfId="0" applyAlignment="1" applyFill="1" applyFont="1">
      <alignment horizontal="right" vertical="bottom"/>
    </xf>
    <xf borderId="0" fillId="9" fontId="2" numFmtId="0" xfId="0" applyAlignment="1" applyFill="1" applyFont="1">
      <alignment horizontal="right" vertical="bottom"/>
    </xf>
    <xf borderId="0" fillId="10" fontId="2" numFmtId="0" xfId="0" applyAlignment="1" applyFill="1" applyFont="1">
      <alignment horizontal="right" vertical="bottom"/>
    </xf>
    <xf borderId="0" fillId="11" fontId="2" numFmtId="0" xfId="0" applyAlignment="1" applyFill="1" applyFont="1">
      <alignment horizontal="right" vertical="bottom"/>
    </xf>
    <xf borderId="0" fillId="12" fontId="2" numFmtId="0" xfId="0" applyAlignment="1" applyFill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Burndown Chart - Sprint 1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'Burndown Chart - Sprint 1'!$B$1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'Burndown Chart - Sprint 1'!$A$2:$A$1000</c:f>
            </c:strRef>
          </c:cat>
          <c:val>
            <c:numRef>
              <c:f>'Burndown Chart - Sprint 1'!$B$2:$B$1000</c:f>
              <c:numCache/>
            </c:numRef>
          </c:val>
          <c:smooth val="0"/>
        </c:ser>
        <c:ser>
          <c:idx val="1"/>
          <c:order val="1"/>
          <c:tx>
            <c:strRef>
              <c:f>'Burndown Chart - Sprint 1'!$C$1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Pt>
            <c:idx val="11"/>
            <c:marker>
              <c:symbol val="none"/>
            </c:marker>
          </c:dPt>
          <c:dPt>
            <c:idx val="16"/>
            <c:marker>
              <c:symbol val="none"/>
            </c:marker>
          </c:dPt>
          <c:dPt>
            <c:idx val="18"/>
            <c:marker>
              <c:symbol val="none"/>
            </c:marker>
          </c:dPt>
          <c:cat>
            <c:strRef>
              <c:f>'Burndown Chart - Sprint 1'!$A$2:$A$1000</c:f>
            </c:strRef>
          </c:cat>
          <c:val>
            <c:numRef>
              <c:f>'Burndown Chart - Sprint 1'!$C$2:$C$1000</c:f>
              <c:numCache/>
            </c:numRef>
          </c:val>
          <c:smooth val="0"/>
        </c:ser>
        <c:axId val="1587370299"/>
        <c:axId val="558004225"/>
      </c:lineChart>
      <c:catAx>
        <c:axId val="15873702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8004225"/>
      </c:catAx>
      <c:valAx>
        <c:axId val="5580042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Puntos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73702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952500</xdr:colOff>
      <xdr:row>2</xdr:row>
      <xdr:rowOff>190500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8.25"/>
    <col customWidth="1" min="3" max="3" width="16.0"/>
    <col customWidth="1" min="5" max="5" width="9.75"/>
    <col customWidth="1" min="6" max="6" width="10.75"/>
    <col customWidth="1" min="7" max="7" width="9.75"/>
    <col customWidth="1" min="12" max="12" width="2.88"/>
    <col customWidth="1" min="13" max="13" width="53.0"/>
  </cols>
  <sheetData>
    <row r="1">
      <c r="A1" s="1" t="s">
        <v>0</v>
      </c>
      <c r="B1" s="1" t="s">
        <v>1</v>
      </c>
      <c r="C1" s="1" t="s">
        <v>2</v>
      </c>
      <c r="D1" s="2"/>
      <c r="E1" s="1" t="s">
        <v>3</v>
      </c>
      <c r="F1" s="1" t="s">
        <v>4</v>
      </c>
      <c r="G1" s="1" t="s">
        <v>5</v>
      </c>
      <c r="H1" s="2"/>
      <c r="I1" s="2"/>
      <c r="J1" s="2"/>
      <c r="K1" s="2"/>
      <c r="L1" s="2"/>
      <c r="M1" s="2"/>
    </row>
    <row r="2">
      <c r="A2" s="3">
        <v>1.0</v>
      </c>
      <c r="B2" s="3">
        <f>E2</f>
        <v>210</v>
      </c>
      <c r="C2" s="3">
        <f>E2-0</f>
        <v>210</v>
      </c>
      <c r="D2" s="2"/>
      <c r="E2" s="3">
        <f>SUM(L:L)</f>
        <v>210</v>
      </c>
      <c r="F2" s="3">
        <f>MAX(A:A)</f>
        <v>28</v>
      </c>
      <c r="G2" s="4">
        <f>E2/F2</f>
        <v>7.5</v>
      </c>
      <c r="H2" s="2"/>
      <c r="I2" s="2"/>
      <c r="J2" s="2"/>
      <c r="K2" s="2"/>
      <c r="L2" s="5">
        <v>15.0</v>
      </c>
      <c r="M2" s="2" t="s">
        <v>6</v>
      </c>
    </row>
    <row r="3">
      <c r="A3" s="3">
        <v>2.0</v>
      </c>
      <c r="B3" s="4">
        <f t="shared" ref="B3:B29" si="1">B2-$G$2</f>
        <v>202.5</v>
      </c>
      <c r="C3" s="6">
        <f>C2-15</f>
        <v>195</v>
      </c>
      <c r="D3" s="2"/>
      <c r="E3" s="2"/>
      <c r="F3" s="2"/>
      <c r="G3" s="2"/>
      <c r="H3" s="2"/>
      <c r="I3" s="2"/>
      <c r="J3" s="2"/>
      <c r="K3" s="2"/>
      <c r="L3" s="6">
        <v>15.0</v>
      </c>
      <c r="M3" s="2" t="s">
        <v>7</v>
      </c>
    </row>
    <row r="4">
      <c r="A4" s="3">
        <v>3.0</v>
      </c>
      <c r="B4" s="4">
        <f t="shared" si="1"/>
        <v>195</v>
      </c>
      <c r="C4" s="7">
        <f>C3-30</f>
        <v>165</v>
      </c>
      <c r="D4" s="2"/>
      <c r="E4" s="2"/>
      <c r="F4" s="2"/>
      <c r="G4" s="2"/>
      <c r="H4" s="2"/>
      <c r="I4" s="2"/>
      <c r="J4" s="2"/>
      <c r="K4" s="2"/>
      <c r="L4" s="8">
        <v>15.0</v>
      </c>
      <c r="M4" s="2" t="s">
        <v>8</v>
      </c>
    </row>
    <row r="5">
      <c r="A5" s="3">
        <v>4.0</v>
      </c>
      <c r="B5" s="4">
        <f t="shared" si="1"/>
        <v>187.5</v>
      </c>
      <c r="C5" s="3">
        <f t="shared" ref="C5:C9" si="2">C4-0</f>
        <v>165</v>
      </c>
      <c r="D5" s="2"/>
      <c r="E5" s="2"/>
      <c r="F5" s="2"/>
      <c r="G5" s="2"/>
      <c r="H5" s="2"/>
      <c r="I5" s="2"/>
      <c r="J5" s="2"/>
      <c r="K5" s="2"/>
      <c r="L5" s="9">
        <v>10.0</v>
      </c>
      <c r="M5" s="2" t="s">
        <v>9</v>
      </c>
    </row>
    <row r="6">
      <c r="A6" s="3">
        <v>5.0</v>
      </c>
      <c r="B6" s="4">
        <f t="shared" si="1"/>
        <v>180</v>
      </c>
      <c r="C6" s="3">
        <f t="shared" si="2"/>
        <v>165</v>
      </c>
      <c r="D6" s="2"/>
      <c r="E6" s="2"/>
      <c r="F6" s="2"/>
      <c r="G6" s="2"/>
      <c r="H6" s="2"/>
      <c r="I6" s="2"/>
      <c r="J6" s="2"/>
      <c r="K6" s="2"/>
      <c r="L6" s="10">
        <v>15.0</v>
      </c>
      <c r="M6" s="2" t="s">
        <v>10</v>
      </c>
    </row>
    <row r="7">
      <c r="A7" s="3">
        <v>6.0</v>
      </c>
      <c r="B7" s="4">
        <f t="shared" si="1"/>
        <v>172.5</v>
      </c>
      <c r="C7" s="3">
        <f t="shared" si="2"/>
        <v>165</v>
      </c>
      <c r="D7" s="2"/>
      <c r="E7" s="2"/>
      <c r="F7" s="2"/>
      <c r="G7" s="2"/>
      <c r="H7" s="2"/>
      <c r="I7" s="2"/>
      <c r="J7" s="2"/>
      <c r="K7" s="2"/>
      <c r="L7" s="10">
        <v>15.0</v>
      </c>
      <c r="M7" s="2" t="s">
        <v>11</v>
      </c>
    </row>
    <row r="8">
      <c r="A8" s="3">
        <v>7.0</v>
      </c>
      <c r="B8" s="4">
        <f t="shared" si="1"/>
        <v>165</v>
      </c>
      <c r="C8" s="3">
        <f t="shared" si="2"/>
        <v>165</v>
      </c>
      <c r="D8" s="2"/>
      <c r="E8" s="2"/>
      <c r="F8" s="2"/>
      <c r="G8" s="2"/>
      <c r="H8" s="2"/>
      <c r="I8" s="2"/>
      <c r="J8" s="2"/>
      <c r="K8" s="2"/>
      <c r="L8" s="11">
        <v>15.0</v>
      </c>
      <c r="M8" s="2" t="s">
        <v>12</v>
      </c>
    </row>
    <row r="9">
      <c r="A9" s="3">
        <v>8.0</v>
      </c>
      <c r="B9" s="4">
        <f t="shared" si="1"/>
        <v>157.5</v>
      </c>
      <c r="C9" s="3">
        <f t="shared" si="2"/>
        <v>165</v>
      </c>
      <c r="D9" s="2"/>
      <c r="E9" s="2"/>
      <c r="F9" s="2"/>
      <c r="G9" s="2"/>
      <c r="H9" s="2"/>
      <c r="I9" s="2"/>
      <c r="J9" s="2"/>
      <c r="K9" s="2"/>
      <c r="L9" s="5">
        <v>10.0</v>
      </c>
      <c r="M9" s="2" t="s">
        <v>13</v>
      </c>
    </row>
    <row r="10">
      <c r="A10" s="3">
        <v>9.0</v>
      </c>
      <c r="B10" s="4">
        <f t="shared" si="1"/>
        <v>150</v>
      </c>
      <c r="C10" s="10">
        <f>C9-30</f>
        <v>135</v>
      </c>
      <c r="D10" s="2"/>
      <c r="E10" s="2"/>
      <c r="F10" s="2"/>
      <c r="G10" s="2"/>
      <c r="H10" s="2"/>
      <c r="I10" s="2"/>
      <c r="J10" s="2"/>
      <c r="K10" s="2"/>
      <c r="L10" s="11">
        <v>15.0</v>
      </c>
      <c r="M10" s="2" t="s">
        <v>14</v>
      </c>
    </row>
    <row r="11">
      <c r="A11" s="3">
        <v>10.0</v>
      </c>
      <c r="B11" s="4">
        <f t="shared" si="1"/>
        <v>142.5</v>
      </c>
      <c r="C11" s="8">
        <f>C10-15</f>
        <v>120</v>
      </c>
      <c r="D11" s="2"/>
      <c r="E11" s="2"/>
      <c r="F11" s="2"/>
      <c r="G11" s="2"/>
      <c r="H11" s="2"/>
      <c r="I11" s="2"/>
      <c r="J11" s="2"/>
      <c r="K11" s="2"/>
      <c r="L11" s="9">
        <v>15.0</v>
      </c>
      <c r="M11" s="2" t="s">
        <v>15</v>
      </c>
    </row>
    <row r="12">
      <c r="A12" s="3">
        <v>11.0</v>
      </c>
      <c r="B12" s="4">
        <f t="shared" si="1"/>
        <v>135</v>
      </c>
      <c r="C12" s="3">
        <f t="shared" ref="C12:C15" si="3">C11-0</f>
        <v>120</v>
      </c>
      <c r="D12" s="2"/>
      <c r="E12" s="2"/>
      <c r="F12" s="2"/>
      <c r="G12" s="2"/>
      <c r="H12" s="2"/>
      <c r="I12" s="2"/>
      <c r="J12" s="2"/>
      <c r="K12" s="2"/>
      <c r="L12" s="12">
        <v>15.0</v>
      </c>
      <c r="M12" s="2" t="s">
        <v>16</v>
      </c>
    </row>
    <row r="13">
      <c r="A13" s="3">
        <v>12.0</v>
      </c>
      <c r="B13" s="4">
        <f t="shared" si="1"/>
        <v>127.5</v>
      </c>
      <c r="C13" s="3">
        <f t="shared" si="3"/>
        <v>120</v>
      </c>
      <c r="D13" s="2"/>
      <c r="E13" s="2"/>
      <c r="F13" s="2"/>
      <c r="G13" s="2"/>
      <c r="H13" s="2"/>
      <c r="I13" s="2"/>
      <c r="J13" s="2"/>
      <c r="K13" s="2"/>
      <c r="L13" s="13">
        <v>15.0</v>
      </c>
      <c r="M13" s="2" t="s">
        <v>17</v>
      </c>
    </row>
    <row r="14">
      <c r="A14" s="3">
        <v>13.0</v>
      </c>
      <c r="B14" s="4">
        <f t="shared" si="1"/>
        <v>120</v>
      </c>
      <c r="C14" s="3">
        <f t="shared" si="3"/>
        <v>120</v>
      </c>
      <c r="D14" s="2"/>
      <c r="E14" s="2"/>
      <c r="F14" s="2"/>
      <c r="G14" s="2"/>
      <c r="H14" s="2"/>
      <c r="I14" s="2"/>
      <c r="J14" s="2"/>
      <c r="K14" s="2"/>
      <c r="L14" s="7">
        <v>15.0</v>
      </c>
      <c r="M14" s="2" t="s">
        <v>18</v>
      </c>
    </row>
    <row r="15">
      <c r="A15" s="3">
        <v>14.0</v>
      </c>
      <c r="B15" s="4">
        <f t="shared" si="1"/>
        <v>112.5</v>
      </c>
      <c r="C15" s="3">
        <f t="shared" si="3"/>
        <v>120</v>
      </c>
      <c r="D15" s="2"/>
      <c r="E15" s="2"/>
      <c r="F15" s="2"/>
      <c r="G15" s="2"/>
      <c r="H15" s="2"/>
      <c r="I15" s="2"/>
      <c r="J15" s="2"/>
      <c r="K15" s="2"/>
      <c r="L15" s="11">
        <v>10.0</v>
      </c>
      <c r="M15" s="2" t="s">
        <v>19</v>
      </c>
    </row>
    <row r="16">
      <c r="A16" s="3">
        <v>15.0</v>
      </c>
      <c r="B16" s="4">
        <f t="shared" si="1"/>
        <v>105</v>
      </c>
      <c r="C16" s="11">
        <f>C15-40</f>
        <v>80</v>
      </c>
      <c r="D16" s="2"/>
      <c r="E16" s="2"/>
      <c r="F16" s="2"/>
      <c r="G16" s="2"/>
      <c r="H16" s="2"/>
      <c r="I16" s="2"/>
      <c r="J16" s="2"/>
      <c r="K16" s="2"/>
      <c r="L16" s="7">
        <v>5.0</v>
      </c>
      <c r="M16" s="2" t="s">
        <v>20</v>
      </c>
    </row>
    <row r="17">
      <c r="A17" s="3">
        <v>16.0</v>
      </c>
      <c r="B17" s="4">
        <f t="shared" si="1"/>
        <v>97.5</v>
      </c>
      <c r="C17" s="3">
        <f t="shared" ref="C17:C20" si="4">C16-0</f>
        <v>80</v>
      </c>
      <c r="D17" s="2"/>
      <c r="E17" s="2"/>
      <c r="F17" s="2"/>
      <c r="G17" s="2"/>
      <c r="H17" s="2"/>
      <c r="I17" s="2"/>
      <c r="J17" s="2"/>
      <c r="K17" s="2"/>
      <c r="L17" s="7">
        <v>10.0</v>
      </c>
      <c r="M17" s="2" t="s">
        <v>21</v>
      </c>
    </row>
    <row r="18">
      <c r="A18" s="3">
        <v>17.0</v>
      </c>
      <c r="B18" s="4">
        <f t="shared" si="1"/>
        <v>90</v>
      </c>
      <c r="C18" s="3">
        <f t="shared" si="4"/>
        <v>80</v>
      </c>
      <c r="D18" s="2"/>
      <c r="E18" s="2"/>
      <c r="F18" s="2"/>
      <c r="G18" s="2"/>
      <c r="H18" s="2"/>
      <c r="I18" s="2"/>
      <c r="J18" s="2"/>
      <c r="K18" s="2"/>
      <c r="L18" s="2"/>
      <c r="M18" s="2"/>
    </row>
    <row r="19">
      <c r="A19" s="3">
        <v>18.0</v>
      </c>
      <c r="B19" s="4">
        <f t="shared" si="1"/>
        <v>82.5</v>
      </c>
      <c r="C19" s="3">
        <f t="shared" si="4"/>
        <v>80</v>
      </c>
      <c r="D19" s="2"/>
      <c r="E19" s="2"/>
      <c r="F19" s="2"/>
      <c r="G19" s="2"/>
      <c r="H19" s="2"/>
      <c r="I19" s="2"/>
      <c r="J19" s="2"/>
      <c r="K19" s="2"/>
      <c r="L19" s="2"/>
      <c r="M19" s="2"/>
    </row>
    <row r="20">
      <c r="A20" s="3">
        <v>19.0</v>
      </c>
      <c r="B20" s="4">
        <f t="shared" si="1"/>
        <v>75</v>
      </c>
      <c r="C20" s="3">
        <f t="shared" si="4"/>
        <v>80</v>
      </c>
      <c r="D20" s="2"/>
      <c r="E20" s="2"/>
      <c r="F20" s="2"/>
      <c r="G20" s="2"/>
      <c r="H20" s="2"/>
      <c r="I20" s="2"/>
      <c r="J20" s="2"/>
      <c r="K20" s="2"/>
      <c r="L20" s="2"/>
      <c r="M20" s="2"/>
    </row>
    <row r="21">
      <c r="A21" s="3">
        <v>20.0</v>
      </c>
      <c r="B21" s="4">
        <f t="shared" si="1"/>
        <v>67.5</v>
      </c>
      <c r="C21" s="13">
        <f>C20-15</f>
        <v>65</v>
      </c>
      <c r="D21" s="2"/>
      <c r="E21" s="2"/>
      <c r="F21" s="2"/>
      <c r="G21" s="2"/>
      <c r="H21" s="2"/>
      <c r="I21" s="2"/>
      <c r="J21" s="2"/>
      <c r="K21" s="2"/>
      <c r="L21" s="2"/>
      <c r="M21" s="2"/>
    </row>
    <row r="22">
      <c r="A22" s="3">
        <v>21.0</v>
      </c>
      <c r="B22" s="4">
        <f t="shared" si="1"/>
        <v>60</v>
      </c>
      <c r="C22" s="3">
        <f t="shared" ref="C22:C23" si="5">C21-0</f>
        <v>65</v>
      </c>
      <c r="D22" s="2"/>
      <c r="E22" s="2"/>
      <c r="F22" s="2"/>
      <c r="G22" s="2"/>
      <c r="H22" s="2"/>
      <c r="I22" s="2"/>
      <c r="J22" s="2"/>
      <c r="K22" s="2"/>
      <c r="L22" s="2"/>
      <c r="M22" s="2"/>
    </row>
    <row r="23">
      <c r="A23" s="3">
        <v>22.0</v>
      </c>
      <c r="B23" s="4">
        <f t="shared" si="1"/>
        <v>52.5</v>
      </c>
      <c r="C23" s="3">
        <f t="shared" si="5"/>
        <v>65</v>
      </c>
      <c r="D23" s="2"/>
      <c r="E23" s="2"/>
      <c r="F23" s="2"/>
      <c r="G23" s="2"/>
      <c r="H23" s="2"/>
      <c r="I23" s="2"/>
      <c r="J23" s="2"/>
      <c r="K23" s="2"/>
      <c r="L23" s="2"/>
      <c r="M23" s="2"/>
    </row>
    <row r="24">
      <c r="A24" s="3">
        <v>23.0</v>
      </c>
      <c r="B24" s="4">
        <f t="shared" si="1"/>
        <v>45</v>
      </c>
      <c r="C24" s="5">
        <f>C23-25</f>
        <v>40</v>
      </c>
      <c r="D24" s="2"/>
      <c r="E24" s="2"/>
      <c r="F24" s="2"/>
      <c r="G24" s="2"/>
      <c r="H24" s="2"/>
      <c r="I24" s="2"/>
      <c r="J24" s="2"/>
      <c r="K24" s="2"/>
      <c r="L24" s="2"/>
      <c r="M24" s="2"/>
    </row>
    <row r="25">
      <c r="A25" s="3">
        <v>24.0</v>
      </c>
      <c r="B25" s="4">
        <f t="shared" si="1"/>
        <v>37.5</v>
      </c>
      <c r="C25" s="12">
        <f>C24-15</f>
        <v>25</v>
      </c>
      <c r="D25" s="2"/>
      <c r="E25" s="2"/>
      <c r="F25" s="2"/>
      <c r="G25" s="2"/>
      <c r="H25" s="2"/>
      <c r="I25" s="2"/>
      <c r="J25" s="2"/>
      <c r="K25" s="2"/>
      <c r="L25" s="2"/>
      <c r="M25" s="2"/>
    </row>
    <row r="26">
      <c r="A26" s="3">
        <v>25.0</v>
      </c>
      <c r="B26" s="4">
        <f t="shared" si="1"/>
        <v>30</v>
      </c>
      <c r="C26" s="3">
        <f t="shared" ref="C26:C28" si="6">C25-0</f>
        <v>25</v>
      </c>
      <c r="D26" s="2"/>
      <c r="E26" s="2"/>
      <c r="F26" s="2"/>
      <c r="G26" s="2"/>
      <c r="H26" s="2"/>
      <c r="I26" s="2"/>
      <c r="J26" s="2"/>
      <c r="K26" s="2"/>
      <c r="L26" s="2"/>
      <c r="M26" s="2"/>
    </row>
    <row r="27">
      <c r="A27" s="3">
        <v>26.0</v>
      </c>
      <c r="B27" s="4">
        <f t="shared" si="1"/>
        <v>22.5</v>
      </c>
      <c r="C27" s="3">
        <f t="shared" si="6"/>
        <v>25</v>
      </c>
      <c r="D27" s="2"/>
      <c r="E27" s="2"/>
      <c r="F27" s="2"/>
      <c r="G27" s="2"/>
      <c r="H27" s="2"/>
      <c r="I27" s="2"/>
      <c r="J27" s="2"/>
      <c r="K27" s="2"/>
      <c r="L27" s="2"/>
      <c r="M27" s="2"/>
    </row>
    <row r="28">
      <c r="A28" s="3">
        <v>27.0</v>
      </c>
      <c r="B28" s="4">
        <f t="shared" si="1"/>
        <v>15</v>
      </c>
      <c r="C28" s="3">
        <f t="shared" si="6"/>
        <v>25</v>
      </c>
      <c r="D28" s="2"/>
      <c r="E28" s="2"/>
      <c r="F28" s="2"/>
      <c r="G28" s="2"/>
      <c r="H28" s="2"/>
      <c r="I28" s="2"/>
      <c r="J28" s="2"/>
      <c r="K28" s="2"/>
      <c r="L28" s="2"/>
      <c r="M28" s="2"/>
    </row>
    <row r="29">
      <c r="A29" s="3">
        <v>28.0</v>
      </c>
      <c r="B29" s="4">
        <f t="shared" si="1"/>
        <v>7.5</v>
      </c>
      <c r="C29" s="14">
        <f>C28-25</f>
        <v>0</v>
      </c>
      <c r="D29" s="2"/>
      <c r="E29" s="2"/>
      <c r="F29" s="2"/>
      <c r="G29" s="2"/>
      <c r="H29" s="2"/>
      <c r="I29" s="2"/>
      <c r="J29" s="2"/>
      <c r="K29" s="2"/>
      <c r="L29" s="2"/>
      <c r="M29" s="2"/>
    </row>
  </sheetData>
  <drawing r:id="rId1"/>
</worksheet>
</file>