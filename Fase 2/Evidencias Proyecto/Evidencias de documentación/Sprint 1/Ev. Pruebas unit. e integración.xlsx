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 unitarias" sheetId="1" r:id="rId5"/>
    <sheet state="visible" name="Pruebas de Integración" sheetId="2" r:id="rId6"/>
  </sheets>
  <definedNames/>
  <calcPr/>
</workbook>
</file>

<file path=xl/sharedStrings.xml><?xml version="1.0" encoding="utf-8"?>
<sst xmlns="http://schemas.openxmlformats.org/spreadsheetml/2006/main" count="183" uniqueCount="129">
  <si>
    <t>Plan de Pruebas Unitarias — Sistema de Gestión Taller Mil &amp; Una Ideas</t>
  </si>
  <si>
    <t>ID</t>
  </si>
  <si>
    <t>Módulo</t>
  </si>
  <si>
    <t>Descripción del caso de prueba</t>
  </si>
  <si>
    <t>Precondiciones</t>
  </si>
  <si>
    <t>Pasos</t>
  </si>
  <si>
    <t>Resultado esperado</t>
  </si>
  <si>
    <t>Resultado obtenido</t>
  </si>
  <si>
    <t>Estado</t>
  </si>
  <si>
    <t>Responsable</t>
  </si>
  <si>
    <t>Fecha</t>
  </si>
  <si>
    <t>Usuarios</t>
  </si>
  <si>
    <t>Validación de campos obligatorios en 'Nuevo usuario' (Nombre, Apellido, Correo, Rol)</t>
  </si>
  <si>
    <t>Modal 'Nuevo usuario' abierto (botón superior derecho)</t>
  </si>
  <si>
    <t>1. Dejar el campo 'Correo electrónico' vacío
2. Click en 'Guardar'</t>
  </si>
  <si>
    <t>El sistema no guarda el registro y señala el campo obligatorio faltante</t>
  </si>
  <si>
    <t>Validación de correo impide crear el usuario</t>
  </si>
  <si>
    <t>Completado</t>
  </si>
  <si>
    <t>Validación de formato de correo electrónico</t>
  </si>
  <si>
    <t>Modal 'Nuevo usuario' abierto</t>
  </si>
  <si>
    <t>1. Ingresar un correo sin '@' (ej. 'pablopablo.cl')
2. Click en 'Guardar'</t>
  </si>
  <si>
    <t>El sistema rechaza el formato y no guarda el registro</t>
  </si>
  <si>
    <t>Asignación correcta del Rol seleccionado</t>
  </si>
  <si>
    <t>Modal 'Nuevo usuario' abierto, select 'Rol' con opciones Jefa de taller / Cortadora / Operaria</t>
  </si>
  <si>
    <t>1. Seleccionar rol 'Cortadora'
2. Completar el resto de campos
3. Guardar</t>
  </si>
  <si>
    <t>El usuario queda registrado con el badge de rol 'Cortadora' (igual que fila 5 y 7 de la tabla)</t>
  </si>
  <si>
    <t>Usuario se crea exitosamente con el rol seleccionado</t>
  </si>
  <si>
    <t>Clientes</t>
  </si>
  <si>
    <t>Validación de campos obligatorios al crear un cliente</t>
  </si>
  <si>
    <t>Formulario de nuevo cliente abierto</t>
  </si>
  <si>
    <t>1. Dejar vacío un campo obligatorio (ej. nombre)
2. Intentar guardar</t>
  </si>
  <si>
    <t>El sistema no guarda el registro y señala el campo faltante</t>
  </si>
  <si>
    <t>Se validan los campos lo que impide crear el cliente</t>
  </si>
  <si>
    <t>Pedidos</t>
  </si>
  <si>
    <t>Validación del campo 'Cliente' obligatorio en 'Nuevo pedido'</t>
  </si>
  <si>
    <t>Modal 'Nuevo pedido' abierto, opción 'Cliente existente' seleccionada</t>
  </si>
  <si>
    <t>1. No seleccionar ningún cliente en 'Selecciona un cliente'
2. Click en 'Guardar pedido'</t>
  </si>
  <si>
    <t>El sistema no guarda el pedido y señala que debe seleccionarse un cliente</t>
  </si>
  <si>
    <t>Validación del campo cliente impide crear el pedido</t>
  </si>
  <si>
    <t>Validación de fecha término posterior a fecha inicio</t>
  </si>
  <si>
    <t>Modal 'Nuevo pedido' abierto</t>
  </si>
  <si>
    <t>1. Ingresar 'Fecha inicio' 2026-09-25
2. Ingresar 'Fecha término' anterior a la de inicio (ej. 2026-09-20)
3. Guardar</t>
  </si>
  <si>
    <t>El sistema rechaza la combinación de fechas e indica el error</t>
  </si>
  <si>
    <t>Validación en calendario impide colocar fechas posteriores a la de inicio</t>
  </si>
  <si>
    <t>Validación del campo 'Precio (CLP)' de cada prenda del detalle</t>
  </si>
  <si>
    <t>Sección 'Detalle de prendas' del modal 'Nuevo pedido' visible</t>
  </si>
  <si>
    <t>1. Dejar vacío el campo 'Precio (CLP)' de una prenda
2. Intentar guardar el pedido</t>
  </si>
  <si>
    <t>El sistema no guarda el pedido y señala el precio faltante</t>
  </si>
  <si>
    <t>Validación en campo precio impide crear el pedido</t>
  </si>
  <si>
    <t>Botón '+ Agregar prenda' agrega una nueva línea de detalle</t>
  </si>
  <si>
    <t>Modal 'Nuevo pedido' con una línea de prenda visible</t>
  </si>
  <si>
    <t>1. Click en '+ Agregar prenda'</t>
  </si>
  <si>
    <t>Se añade una nueva fila con los campos Tipo de prenda, Talla, Cantidad, Cortadora, Operaria, Precio y Observaciones vacíos</t>
  </si>
  <si>
    <t>Se añade nueva linea de detalle correctamente</t>
  </si>
  <si>
    <t>Botón 'Quitar' elimina la línea de prenda correspondiente</t>
  </si>
  <si>
    <t>Modal 'Nuevo pedido' con 2 o más líneas de prenda</t>
  </si>
  <si>
    <t>1. Click en 'Quitar' de una de las líneas</t>
  </si>
  <si>
    <t>Esa línea desaparece del detalle y las demás se mantienen sin alterar sus datos</t>
  </si>
  <si>
    <t>Se elimina la linea de detalle correctamente</t>
  </si>
  <si>
    <t>Trabajos</t>
  </si>
  <si>
    <t>Generación de tarea de 'Corte' al asignar Cortadora en el pedido</t>
  </si>
  <si>
    <t>Pedido guardado con una prenda con Cortadora asignada</t>
  </si>
  <si>
    <t>1. Consultar el módulo Trabajos filtrando por ese N° de pedido</t>
  </si>
  <si>
    <t>Aparece una fila con Tarea = 'Corte' y Responsable = la cortadora asignada</t>
  </si>
  <si>
    <t>Se visualizan correctamente los trabajos</t>
  </si>
  <si>
    <t>Generación de tarea de 'Armado' al asignar Operaria en el pedido</t>
  </si>
  <si>
    <t>Pedido guardado con una prenda con Operaria asignada</t>
  </si>
  <si>
    <t>Aparece una fila con Tarea = 'Armado' y Responsable = la operaria asignada</t>
  </si>
  <si>
    <t>Precios</t>
  </si>
  <si>
    <t>Validación de campos obligatorios en 'Nueva categoría'</t>
  </si>
  <si>
    <t>Modal 'Nueva categoría' abierto</t>
  </si>
  <si>
    <t>1. Dejar vacío el campo 'Precio (CLP)'
2. Click en 'Guardar'</t>
  </si>
  <si>
    <t>El sistema no guarda la categoría y señala el campo faltante</t>
  </si>
  <si>
    <t>Validación impide crear la nueva categoría</t>
  </si>
  <si>
    <t>Validación de precio numérico y mayor a cero</t>
  </si>
  <si>
    <t>1. Ingresar un valor no numérico o negativo en 'Precio (CLP)'
2. Guardar</t>
  </si>
  <si>
    <t>El sistema rechaza el valor y no guarda la categoría</t>
  </si>
  <si>
    <t>Validación impide colocar números negativos</t>
  </si>
  <si>
    <t>Plan de Pruebas de Integración — Sistema de Gestión Taller Mil &amp; Una Ideas</t>
  </si>
  <si>
    <t>Creación de usuario y verificación en la tabla</t>
  </si>
  <si>
    <t>Sesión iniciada como Jefa de taller</t>
  </si>
  <si>
    <t>1. Click en 'Nuevo usuario'
2. Completar Nombre, Apellido, Correo y Rol
3. Guardar
4. Revisar la tabla 'Módulo de Usuarios'</t>
  </si>
  <si>
    <t>El nuevo usuario aparece en la tabla con el badge de rol correspondiente</t>
  </si>
  <si>
    <t>Se crea usuario correctamente</t>
  </si>
  <si>
    <t>Edición de un usuario existente</t>
  </si>
  <si>
    <t>Al menos un usuario en la tabla (ej. fila 8, 'pablo pablo')</t>
  </si>
  <si>
    <t>1. Click en el ícono de lápiz (editar) de esa fila
2. Modificar el Rol a otro valor
3. Guardar</t>
  </si>
  <si>
    <t>La tabla refleja el nuevo rol sin duplicar ni perder el registro</t>
  </si>
  <si>
    <t>Se edita un usuario correctamente</t>
  </si>
  <si>
    <t>Eliminación de un usuario</t>
  </si>
  <si>
    <t>Usuario de prueba creado previamente</t>
  </si>
  <si>
    <t>1. Click en el ícono de basurero de ese usuario
2. Confirmar eliminación</t>
  </si>
  <si>
    <t>El usuario desaparece de la tabla y ya no puede iniciar sesión</t>
  </si>
  <si>
    <t>Se elimina un usuario correctamente - Agregar validación para eliminar un usuario no debe tener pedidos asociados</t>
  </si>
  <si>
    <t>Registro de un cliente y disponibilidad inmediata en Pedidos</t>
  </si>
  <si>
    <t>Módulo Clientes accesible</t>
  </si>
  <si>
    <t>1. Registrar un cliente nuevo
2. Abrir 'Nuevo pedido' - 'Cliente existente'
3. Buscarlo en 'Selecciona un cliente'</t>
  </si>
  <si>
    <t>El cliente recién creado aparece disponible para seleccionar en el formulario de pedido</t>
  </si>
  <si>
    <t>Se crea y visualiza el cliente correctamente</t>
  </si>
  <si>
    <t>Creación de un pedido completo con cliente existente y una prenda</t>
  </si>
  <si>
    <t>Al menos un cliente y una categoría de precio ya creados</t>
  </si>
  <si>
    <t>1. 'Nuevo pedido' - 'Cliente existente' - seleccionar cliente
2. Ingresar fecha inicio y término
3. En 'Detalle de prendas': tipo, talla, cantidad, cortadora, operaria, precio
4. 'Guardar pedido'</t>
  </si>
  <si>
    <t>El pedido aparece en el listado de Pedidos con el N° de prendas correcto y estado 'Pendiente'</t>
  </si>
  <si>
    <t>Pedido se crea y visualiza correctamente</t>
  </si>
  <si>
    <t>Creación de un pedido con 'Cliente nuevo' desde el mismo formulario</t>
  </si>
  <si>
    <t>Modal 'Nuevo pedido' abierto, opción 'Cliente nuevo' seleccionada</t>
  </si>
  <si>
    <t>1. Marcar 'Cliente nuevo'
2. Completar datos del cliente y del pedido
3. Guardar</t>
  </si>
  <si>
    <t>Se crea el cliente y el pedido en la misma operación, y ambos quedan visibles en sus respectivos módulos</t>
  </si>
  <si>
    <t>El cliente se crea correctamente y se visualiza en el módulo de clientes</t>
  </si>
  <si>
    <t>Cambio de estado de un pedido desde el listado</t>
  </si>
  <si>
    <t>Pedido existente en estado 'Pendiente' (ej. fila 3, 'Pulento Rojas')</t>
  </si>
  <si>
    <t>1. Cambiar el select 'Estado' a 'En Progreso'
2. Recargar la página</t>
  </si>
  <si>
    <t>El pedido mantiene el estado 'En Progreso' tras recargar (persistencia confirmada)</t>
  </si>
  <si>
    <t>Estado se actualiza correctamente</t>
  </si>
  <si>
    <t>Pedidos - Trabajos</t>
  </si>
  <si>
    <t>Un pedido con varias prendas genera todas sus tareas de taller</t>
  </si>
  <si>
    <t>Pedido con 2 o más prendas, cada una con Cortadora/Operaria asignada</t>
  </si>
  <si>
    <t>1. Guardar el pedido
2. Revisar el módulo Trabajos filtrando por ese pedido</t>
  </si>
  <si>
    <t>Aparecen todas las tareas de Corte y Armado correspondientes, cada una con su responsable correcto (como el pedido 4 con 3 tareas de Corte/Armado en la captura)</t>
  </si>
  <si>
    <t>Pedido guarda correctamente información con más prendas</t>
  </si>
  <si>
    <t>Cambio de estado de una tarea individual</t>
  </si>
  <si>
    <t>Tarea en estado 'Pendiente' en el listado de Trabajos</t>
  </si>
  <si>
    <t>1. Cambiar su select 'Estado'
2. Verificar el pedido asociado en el módulo Pedidos</t>
  </si>
  <si>
    <t>El estado de la tarea se actualiza sin alterar el estado general del pedido hasta que todas sus tareas estén completas</t>
  </si>
  <si>
    <t>Estado individual por trabaja se actualiza correctamente</t>
  </si>
  <si>
    <t>Creación de una categoría y disponibilidad en 'Nuevo pedido'</t>
  </si>
  <si>
    <t>1. Crear categoría (Nombre, Icono, Color, Talla, Precio) ej. 'Buzos Escolares'
2. Abrir 'Nuevo pedido' - 'Detalle de prendas' - 'Tipo de prenda'</t>
  </si>
  <si>
    <t>La nueva categoría aparece como tarjeta en 'Lista de precios' Y como opción seleccionable en 'Tipo de prenda' del pedido</t>
  </si>
  <si>
    <t>Se crea una nueva categoría y es visible en la Landing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</si>
</sst>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7">
    <font>
      <sz val="10.0"/>
      <color rgb="FF000000"/>
      <name val="Arial"/>
      <scheme val="minor"/>
    </font>
    <font>
      <b/>
      <sz val="14.0"/>
      <color rgb="FF1F4E79"/>
      <name val="Calibri"/>
    </font>
    <font>
      <sz val="11.0"/>
      <color rgb="FF000000"/>
      <name val="Calibri"/>
    </font>
    <font>
      <b/>
      <sz val="10.0"/>
      <color rgb="FFFFFFFF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i/>
      <sz val="10.0"/>
      <color rgb="FF9C65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9C4"/>
        <bgColor rgb="FFFFF9C4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shrinkToFit="0" vertical="center" wrapText="1"/>
    </xf>
    <xf borderId="1" fillId="3" fontId="0" numFmtId="0" xfId="0" applyAlignment="1" applyBorder="1" applyFill="1" applyFont="1">
      <alignment readingOrder="0" shrinkToFit="0" vertical="center" wrapText="1"/>
    </xf>
    <xf borderId="1" fillId="3" fontId="6" numFmtId="0" xfId="0" applyAlignment="1" applyBorder="1" applyFill="1" applyFont="1">
      <alignment readingOrder="0" shrinkToFit="0" vertical="top" wrapText="0"/>
    </xf>
    <xf borderId="1" fillId="3" fontId="0" numFmtId="0" xfId="0" applyAlignment="1" applyBorder="1" applyFill="1" applyFont="1">
      <alignment readingOrder="0" shrinkToFit="0" vertical="top" wrapText="0"/>
    </xf>
    <xf borderId="1" fillId="3" fontId="0" numFmtId="164" xfId="0" applyAlignment="1" applyBorder="1" applyFill="1" applyFont="1" applyNumberFormat="1">
      <alignment readingOrder="0" shrinkToFit="0" vertical="top" wrapText="0"/>
    </xf>
    <xf borderId="1" fillId="3" fontId="0" numFmtId="0" xfId="0" applyAlignment="1" applyBorder="1" applyFill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38"/>
    <col customWidth="1" min="4" max="4" width="35.0"/>
    <col customWidth="1" min="5" max="5" width="34.0"/>
    <col customWidth="1" min="6" max="6" width="42.63"/>
    <col customWidth="1" min="7" max="7" width="33.38"/>
    <col customWidth="1" min="8" max="8" width="14.88"/>
    <col hidden="1" min="9" max="9" width="12.63"/>
  </cols>
  <sheetData>
    <row r="1" hidden="1">
      <c r="A1" s="1" t="s">
        <v>0</v>
      </c>
    </row>
    <row r="2" hidden="1">
      <c r="A2" s="2"/>
      <c r="B2" s="2"/>
      <c r="C2" s="2"/>
      <c r="D2" s="2"/>
      <c r="E2" s="2"/>
      <c r="F2" s="2"/>
      <c r="G2" s="2"/>
      <c r="H2" s="2"/>
      <c r="I2" s="2"/>
      <c r="J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>
      <c r="A4" s="4" t="str">
        <f t="shared" ref="A4:A16" si="1">"UT-" &amp; ROW()-3</f>
        <v>UT-1</v>
      </c>
      <c r="B4" s="5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7" t="s">
        <v>16</v>
      </c>
      <c r="H4" s="8" t="s">
        <v>17</v>
      </c>
      <c r="I4" s="9"/>
      <c r="J4" s="10">
        <v>46292.0</v>
      </c>
    </row>
    <row r="5">
      <c r="A5" s="4" t="str">
        <f t="shared" si="1"/>
        <v>UT-2</v>
      </c>
      <c r="B5" s="5" t="s">
        <v>11</v>
      </c>
      <c r="C5" s="6" t="s">
        <v>18</v>
      </c>
      <c r="D5" s="6" t="s">
        <v>19</v>
      </c>
      <c r="E5" s="6" t="s">
        <v>20</v>
      </c>
      <c r="F5" s="6" t="s">
        <v>21</v>
      </c>
      <c r="G5" s="7" t="s">
        <v>16</v>
      </c>
      <c r="H5" s="8" t="s">
        <v>17</v>
      </c>
      <c r="I5" s="11"/>
      <c r="J5" s="10">
        <v>46292.0</v>
      </c>
    </row>
    <row r="6">
      <c r="A6" s="4" t="str">
        <f t="shared" si="1"/>
        <v>UT-3</v>
      </c>
      <c r="B6" s="5" t="s">
        <v>11</v>
      </c>
      <c r="C6" s="6" t="s">
        <v>22</v>
      </c>
      <c r="D6" s="6" t="s">
        <v>23</v>
      </c>
      <c r="E6" s="6" t="s">
        <v>24</v>
      </c>
      <c r="F6" s="6" t="s">
        <v>25</v>
      </c>
      <c r="G6" s="7" t="s">
        <v>26</v>
      </c>
      <c r="H6" s="8" t="s">
        <v>17</v>
      </c>
      <c r="I6" s="11"/>
      <c r="J6" s="10">
        <v>46292.0</v>
      </c>
    </row>
    <row r="7">
      <c r="A7" s="4" t="str">
        <f t="shared" si="1"/>
        <v>UT-4</v>
      </c>
      <c r="B7" s="5" t="s">
        <v>27</v>
      </c>
      <c r="C7" s="6" t="s">
        <v>28</v>
      </c>
      <c r="D7" s="6" t="s">
        <v>29</v>
      </c>
      <c r="E7" s="6" t="s">
        <v>30</v>
      </c>
      <c r="F7" s="6" t="s">
        <v>31</v>
      </c>
      <c r="G7" s="7" t="s">
        <v>32</v>
      </c>
      <c r="H7" s="8" t="s">
        <v>17</v>
      </c>
      <c r="I7" s="11"/>
      <c r="J7" s="10">
        <v>46292.0</v>
      </c>
    </row>
    <row r="8">
      <c r="A8" s="4" t="str">
        <f t="shared" si="1"/>
        <v>UT-5</v>
      </c>
      <c r="B8" s="5" t="s">
        <v>33</v>
      </c>
      <c r="C8" s="6" t="s">
        <v>34</v>
      </c>
      <c r="D8" s="6" t="s">
        <v>35</v>
      </c>
      <c r="E8" s="6" t="s">
        <v>36</v>
      </c>
      <c r="F8" s="6" t="s">
        <v>37</v>
      </c>
      <c r="G8" s="7" t="s">
        <v>38</v>
      </c>
      <c r="H8" s="8" t="s">
        <v>17</v>
      </c>
      <c r="I8" s="11"/>
      <c r="J8" s="10">
        <v>46292.0</v>
      </c>
    </row>
    <row r="9">
      <c r="A9" s="4" t="str">
        <f t="shared" si="1"/>
        <v>UT-6</v>
      </c>
      <c r="B9" s="5" t="s">
        <v>33</v>
      </c>
      <c r="C9" s="6" t="s">
        <v>39</v>
      </c>
      <c r="D9" s="6" t="s">
        <v>40</v>
      </c>
      <c r="E9" s="6" t="s">
        <v>41</v>
      </c>
      <c r="F9" s="6" t="s">
        <v>42</v>
      </c>
      <c r="G9" s="7" t="s">
        <v>43</v>
      </c>
      <c r="H9" s="8" t="s">
        <v>17</v>
      </c>
      <c r="I9" s="11"/>
      <c r="J9" s="10">
        <v>46292.0</v>
      </c>
    </row>
    <row r="10">
      <c r="A10" s="4" t="str">
        <f t="shared" si="1"/>
        <v>UT-7</v>
      </c>
      <c r="B10" s="5" t="s">
        <v>33</v>
      </c>
      <c r="C10" s="6" t="s">
        <v>44</v>
      </c>
      <c r="D10" s="6" t="s">
        <v>45</v>
      </c>
      <c r="E10" s="6" t="s">
        <v>46</v>
      </c>
      <c r="F10" s="6" t="s">
        <v>47</v>
      </c>
      <c r="G10" s="7" t="s">
        <v>48</v>
      </c>
      <c r="H10" s="8" t="s">
        <v>17</v>
      </c>
      <c r="I10" s="11"/>
      <c r="J10" s="10">
        <v>46292.0</v>
      </c>
    </row>
    <row r="11">
      <c r="A11" s="4" t="str">
        <f t="shared" si="1"/>
        <v>UT-8</v>
      </c>
      <c r="B11" s="5" t="s">
        <v>33</v>
      </c>
      <c r="C11" s="6" t="s">
        <v>49</v>
      </c>
      <c r="D11" s="6" t="s">
        <v>50</v>
      </c>
      <c r="E11" s="6" t="s">
        <v>51</v>
      </c>
      <c r="F11" s="6" t="s">
        <v>52</v>
      </c>
      <c r="G11" s="7" t="s">
        <v>53</v>
      </c>
      <c r="H11" s="8" t="s">
        <v>17</v>
      </c>
      <c r="I11" s="11"/>
      <c r="J11" s="10">
        <v>46292.0</v>
      </c>
    </row>
    <row r="12">
      <c r="A12" s="4" t="str">
        <f t="shared" si="1"/>
        <v>UT-9</v>
      </c>
      <c r="B12" s="5" t="s">
        <v>33</v>
      </c>
      <c r="C12" s="6" t="s">
        <v>54</v>
      </c>
      <c r="D12" s="6" t="s">
        <v>55</v>
      </c>
      <c r="E12" s="6" t="s">
        <v>56</v>
      </c>
      <c r="F12" s="6" t="s">
        <v>57</v>
      </c>
      <c r="G12" s="7" t="s">
        <v>58</v>
      </c>
      <c r="H12" s="8" t="s">
        <v>17</v>
      </c>
      <c r="I12" s="11"/>
      <c r="J12" s="10">
        <v>46292.0</v>
      </c>
    </row>
    <row r="13">
      <c r="A13" s="4" t="str">
        <f t="shared" si="1"/>
        <v>UT-10</v>
      </c>
      <c r="B13" s="5" t="s">
        <v>59</v>
      </c>
      <c r="C13" s="6" t="s">
        <v>60</v>
      </c>
      <c r="D13" s="6" t="s">
        <v>61</v>
      </c>
      <c r="E13" s="6" t="s">
        <v>62</v>
      </c>
      <c r="F13" s="6" t="s">
        <v>63</v>
      </c>
      <c r="G13" s="7" t="s">
        <v>64</v>
      </c>
      <c r="H13" s="8" t="s">
        <v>17</v>
      </c>
      <c r="I13" s="11"/>
      <c r="J13" s="10">
        <v>46292.0</v>
      </c>
    </row>
    <row r="14">
      <c r="A14" s="4" t="str">
        <f t="shared" si="1"/>
        <v>UT-11</v>
      </c>
      <c r="B14" s="5" t="s">
        <v>59</v>
      </c>
      <c r="C14" s="6" t="s">
        <v>65</v>
      </c>
      <c r="D14" s="6" t="s">
        <v>66</v>
      </c>
      <c r="E14" s="6" t="s">
        <v>62</v>
      </c>
      <c r="F14" s="6" t="s">
        <v>67</v>
      </c>
      <c r="G14" s="7" t="s">
        <v>64</v>
      </c>
      <c r="H14" s="8" t="s">
        <v>17</v>
      </c>
      <c r="I14" s="11"/>
      <c r="J14" s="10">
        <v>46292.0</v>
      </c>
    </row>
    <row r="15">
      <c r="A15" s="4" t="str">
        <f t="shared" si="1"/>
        <v>UT-12</v>
      </c>
      <c r="B15" s="5" t="s">
        <v>68</v>
      </c>
      <c r="C15" s="6" t="s">
        <v>69</v>
      </c>
      <c r="D15" s="6" t="s">
        <v>70</v>
      </c>
      <c r="E15" s="6" t="s">
        <v>71</v>
      </c>
      <c r="F15" s="6" t="s">
        <v>72</v>
      </c>
      <c r="G15" s="7" t="s">
        <v>73</v>
      </c>
      <c r="H15" s="8" t="s">
        <v>17</v>
      </c>
      <c r="I15" s="11"/>
      <c r="J15" s="10">
        <v>46292.0</v>
      </c>
    </row>
    <row r="16">
      <c r="A16" s="4" t="str">
        <f t="shared" si="1"/>
        <v>UT-13</v>
      </c>
      <c r="B16" s="5" t="s">
        <v>68</v>
      </c>
      <c r="C16" s="6" t="s">
        <v>74</v>
      </c>
      <c r="D16" s="6" t="s">
        <v>70</v>
      </c>
      <c r="E16" s="6" t="s">
        <v>75</v>
      </c>
      <c r="F16" s="6" t="s">
        <v>76</v>
      </c>
      <c r="G16" s="7" t="s">
        <v>77</v>
      </c>
      <c r="H16" s="8" t="s">
        <v>17</v>
      </c>
      <c r="I16" s="11"/>
      <c r="J16" s="10">
        <v>46292.0</v>
      </c>
    </row>
  </sheetData>
  <mergeCells count="1">
    <mergeCell ref="A1:J1"/>
  </mergeCells>
  <dataValidations>
    <dataValidation type="list" allowBlank="1" showErrorMessage="1" sqref="H4:H16">
      <formula1>"Pendiente,Completado"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0"/>
    <col customWidth="1" min="4" max="4" width="20.75"/>
    <col customWidth="1" min="5" max="5" width="33.5"/>
    <col customWidth="1" min="6" max="6" width="35.38"/>
    <col customWidth="1" min="7" max="7" width="33.5"/>
    <col hidden="1" min="9" max="9" width="12.63"/>
  </cols>
  <sheetData>
    <row r="1" hidden="1">
      <c r="A1" s="1" t="s">
        <v>78</v>
      </c>
    </row>
    <row r="2" hidden="1">
      <c r="A2" s="2"/>
      <c r="B2" s="2"/>
      <c r="C2" s="2"/>
      <c r="D2" s="2"/>
      <c r="E2" s="2"/>
      <c r="F2" s="2"/>
      <c r="G2" s="2"/>
      <c r="H2" s="2"/>
      <c r="I2" s="2"/>
      <c r="J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>
      <c r="A4" s="4" t="str">
        <f t="shared" ref="A4:A13" si="1">"IT-" &amp; ROW()-3</f>
        <v>IT-1</v>
      </c>
      <c r="B4" s="6" t="s">
        <v>11</v>
      </c>
      <c r="C4" s="6" t="s">
        <v>79</v>
      </c>
      <c r="D4" s="6" t="s">
        <v>80</v>
      </c>
      <c r="E4" s="6" t="s">
        <v>81</v>
      </c>
      <c r="F4" s="6" t="s">
        <v>82</v>
      </c>
      <c r="G4" s="7" t="s">
        <v>83</v>
      </c>
      <c r="H4" s="8" t="s">
        <v>17</v>
      </c>
      <c r="I4" s="11"/>
      <c r="J4" s="10">
        <v>46292.0</v>
      </c>
    </row>
    <row r="5">
      <c r="A5" s="4" t="str">
        <f t="shared" si="1"/>
        <v>IT-2</v>
      </c>
      <c r="B5" s="6" t="s">
        <v>11</v>
      </c>
      <c r="C5" s="6" t="s">
        <v>84</v>
      </c>
      <c r="D5" s="6" t="s">
        <v>85</v>
      </c>
      <c r="E5" s="6" t="s">
        <v>86</v>
      </c>
      <c r="F5" s="6" t="s">
        <v>87</v>
      </c>
      <c r="G5" s="7" t="s">
        <v>88</v>
      </c>
      <c r="H5" s="8" t="s">
        <v>17</v>
      </c>
      <c r="I5" s="11"/>
      <c r="J5" s="10">
        <v>46292.0</v>
      </c>
    </row>
    <row r="6">
      <c r="A6" s="4" t="str">
        <f t="shared" si="1"/>
        <v>IT-3</v>
      </c>
      <c r="B6" s="6" t="s">
        <v>11</v>
      </c>
      <c r="C6" s="6" t="s">
        <v>89</v>
      </c>
      <c r="D6" s="6" t="s">
        <v>90</v>
      </c>
      <c r="E6" s="6" t="s">
        <v>91</v>
      </c>
      <c r="F6" s="6" t="s">
        <v>92</v>
      </c>
      <c r="G6" s="7" t="s">
        <v>93</v>
      </c>
      <c r="H6" s="8" t="s">
        <v>17</v>
      </c>
      <c r="I6" s="11"/>
      <c r="J6" s="10">
        <v>46292.0</v>
      </c>
    </row>
    <row r="7">
      <c r="A7" s="4" t="str">
        <f t="shared" si="1"/>
        <v>IT-4</v>
      </c>
      <c r="B7" s="6" t="s">
        <v>27</v>
      </c>
      <c r="C7" s="6" t="s">
        <v>94</v>
      </c>
      <c r="D7" s="6" t="s">
        <v>95</v>
      </c>
      <c r="E7" s="6" t="s">
        <v>96</v>
      </c>
      <c r="F7" s="6" t="s">
        <v>97</v>
      </c>
      <c r="G7" s="7" t="s">
        <v>98</v>
      </c>
      <c r="H7" s="8" t="s">
        <v>17</v>
      </c>
      <c r="I7" s="11"/>
      <c r="J7" s="10">
        <v>46292.0</v>
      </c>
    </row>
    <row r="8">
      <c r="A8" s="4" t="str">
        <f t="shared" si="1"/>
        <v>IT-5</v>
      </c>
      <c r="B8" s="6" t="s">
        <v>33</v>
      </c>
      <c r="C8" s="6" t="s">
        <v>99</v>
      </c>
      <c r="D8" s="6" t="s">
        <v>100</v>
      </c>
      <c r="E8" s="6" t="s">
        <v>101</v>
      </c>
      <c r="F8" s="6" t="s">
        <v>102</v>
      </c>
      <c r="G8" s="7" t="s">
        <v>103</v>
      </c>
      <c r="H8" s="8" t="s">
        <v>17</v>
      </c>
      <c r="I8" s="11"/>
      <c r="J8" s="10">
        <v>46292.0</v>
      </c>
    </row>
    <row r="9">
      <c r="A9" s="4" t="str">
        <f t="shared" si="1"/>
        <v>IT-6</v>
      </c>
      <c r="B9" s="6" t="s">
        <v>33</v>
      </c>
      <c r="C9" s="6" t="s">
        <v>104</v>
      </c>
      <c r="D9" s="6" t="s">
        <v>105</v>
      </c>
      <c r="E9" s="6" t="s">
        <v>106</v>
      </c>
      <c r="F9" s="6" t="s">
        <v>107</v>
      </c>
      <c r="G9" s="7" t="s">
        <v>108</v>
      </c>
      <c r="H9" s="8" t="s">
        <v>17</v>
      </c>
      <c r="I9" s="11"/>
      <c r="J9" s="10">
        <v>46292.0</v>
      </c>
    </row>
    <row r="10">
      <c r="A10" s="4" t="str">
        <f t="shared" si="1"/>
        <v>IT-7</v>
      </c>
      <c r="B10" s="6" t="s">
        <v>33</v>
      </c>
      <c r="C10" s="6" t="s">
        <v>109</v>
      </c>
      <c r="D10" s="6" t="s">
        <v>110</v>
      </c>
      <c r="E10" s="6" t="s">
        <v>111</v>
      </c>
      <c r="F10" s="6" t="s">
        <v>112</v>
      </c>
      <c r="G10" s="7" t="s">
        <v>113</v>
      </c>
      <c r="H10" s="8" t="s">
        <v>17</v>
      </c>
      <c r="I10" s="11"/>
      <c r="J10" s="10">
        <v>46292.0</v>
      </c>
    </row>
    <row r="11">
      <c r="A11" s="4" t="str">
        <f t="shared" si="1"/>
        <v>IT-8</v>
      </c>
      <c r="B11" s="6" t="s">
        <v>114</v>
      </c>
      <c r="C11" s="6" t="s">
        <v>115</v>
      </c>
      <c r="D11" s="6" t="s">
        <v>116</v>
      </c>
      <c r="E11" s="6" t="s">
        <v>117</v>
      </c>
      <c r="F11" s="6" t="s">
        <v>118</v>
      </c>
      <c r="G11" s="7" t="s">
        <v>119</v>
      </c>
      <c r="H11" s="8" t="s">
        <v>17</v>
      </c>
      <c r="I11" s="11"/>
      <c r="J11" s="10">
        <v>46292.0</v>
      </c>
    </row>
    <row r="12">
      <c r="A12" s="4" t="str">
        <f t="shared" si="1"/>
        <v>IT-9</v>
      </c>
      <c r="B12" s="6" t="s">
        <v>59</v>
      </c>
      <c r="C12" s="6" t="s">
        <v>120</v>
      </c>
      <c r="D12" s="6" t="s">
        <v>121</v>
      </c>
      <c r="E12" s="6" t="s">
        <v>122</v>
      </c>
      <c r="F12" s="6" t="s">
        <v>123</v>
      </c>
      <c r="G12" s="7" t="s">
        <v>124</v>
      </c>
      <c r="H12" s="8" t="s">
        <v>17</v>
      </c>
      <c r="I12" s="11"/>
      <c r="J12" s="10">
        <v>46292.0</v>
      </c>
    </row>
    <row r="13">
      <c r="A13" s="4" t="str">
        <f t="shared" si="1"/>
        <v>IT-10</v>
      </c>
      <c r="B13" s="6" t="s">
        <v>68</v>
      </c>
      <c r="C13" s="6" t="s">
        <v>125</v>
      </c>
      <c r="D13" s="6" t="s">
        <v>70</v>
      </c>
      <c r="E13" s="6" t="s">
        <v>126</v>
      </c>
      <c r="F13" s="6" t="s">
        <v>127</v>
      </c>
      <c r="G13" s="7" t="s">
        <v>128</v>
      </c>
      <c r="H13" s="8" t="s">
        <v>17</v>
      </c>
      <c r="I13" s="11"/>
      <c r="J13" s="10">
        <v>46292.0</v>
      </c>
    </row>
  </sheetData>
  <mergeCells count="1">
    <mergeCell ref="A1:J1"/>
  </mergeCells>
  <dataValidations>
    <dataValidation type="list" allowBlank="1" showErrorMessage="1" sqref="H4:H13">
      <formula1>"Pendiente,Completado"</formula1>
    </dataValidation>
  </dataValidations>
  <drawing r:id="rId1"/>
</worksheet>
</file>