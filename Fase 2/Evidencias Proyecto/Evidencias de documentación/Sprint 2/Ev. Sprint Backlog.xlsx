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- Sprint 2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tc={af05615e-8dd3-4800-9f8c-4b0a73d434af}</author>
  </authors>
  <commentList>
    <comment authorId="0" xr:uid="{af05615e-8dd3-4800-9f8c-4b0a73d434af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cambios sprint review:
1. FAQ
2. Registros pedidos abono, precios, costes, servicios
3. Iconos titulos
4. Negrita titulos
</t>
      </text>
    </comment>
  </commentList>
</comments>
</file>

<file path=xl/sharedStrings.xml><?xml version="1.0" encoding="utf-8"?>
<sst xmlns="http://schemas.openxmlformats.org/spreadsheetml/2006/main" count="125" uniqueCount="93">
  <si>
    <t>Elemento pendiente</t>
  </si>
  <si>
    <t>Pts Historia</t>
  </si>
  <si>
    <t>Estado</t>
  </si>
  <si>
    <t>Pts Tarea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</si>
  <si>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</si>
  <si>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</si>
  <si>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</si>
  <si>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</si>
  <si>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</si>
  <si>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</si>
  <si>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</si>
  <si>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</si>
  <si>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</si>
  <si>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</si>
  <si>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</si>
  <si>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</si>
  <si>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</si>
  <si>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</si>
  <si>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</si>
  <si>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</si>
  <si>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</si>
  <si>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</si>
  <si>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</si>
  <si>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</si>
  <si>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</si>
  <si>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</si>
  <si>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</si>
  <si>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</si>
  <si>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</si>
  <si>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</si>
  <si>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</si>
  <si>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</si>
  <si>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Restante</t>
  </si>
  <si>
    <t>H-18 - Como Jefa de taller, quiero tener la información de mis clientes para comunicarme con ellos si ocurre algun inprevisto durante la confección de su pedido.</t>
  </si>
  <si>
    <t>P-25 Desarrollo vista de gestión de clientes</t>
  </si>
  <si>
    <t>Vista de administración de clientes</t>
  </si>
  <si>
    <t>Finalizado</t>
  </si>
  <si>
    <t>Implementar en modulo de registro de pedidos</t>
  </si>
  <si>
    <t>Conectar vista con servicios de datos (supabase)</t>
  </si>
  <si>
    <t>P-26 Desarrollo logica de gestión de clientes</t>
  </si>
  <si>
    <t>Definir modelos clientes</t>
  </si>
  <si>
    <t>Crear CRUD de datos de clientes</t>
  </si>
  <si>
    <t>Implementar validaciones de datos del cliente</t>
  </si>
  <si>
    <t>P-27 Desarrollo de vista de clientes y ordenamiento por frecuencia</t>
  </si>
  <si>
    <t>Implementar lógica de cálculo de frecuencia de pedidos</t>
  </si>
  <si>
    <t>Construir interfaz de listado</t>
  </si>
  <si>
    <t>Integrar ordenamiento por frecuencia en la vista</t>
  </si>
  <si>
    <t>P-38 Integración de mapa interactivo</t>
  </si>
  <si>
    <t>Implmenetación frontend en landing page</t>
  </si>
  <si>
    <t>Implementación backend de servicios de coordenadas</t>
  </si>
  <si>
    <t>H-2 - Como Jefa de taller quiero cambiar el estado de las tareas (pendiente, en proceso, finalizada) para llevar un control visual del avance.</t>
  </si>
  <si>
    <t>P-28 Desarrollo vista control de tareas en el taller</t>
  </si>
  <si>
    <t>Definir lógica para el control de tareas en taller</t>
  </si>
  <si>
    <t>Integrar componentes visuales de control de tareas</t>
  </si>
  <si>
    <t>P-29 Desarrollo logica control de tareas en el taller</t>
  </si>
  <si>
    <t>Implementar servicios backend para gestión de tareas</t>
  </si>
  <si>
    <t>Conectar lógica de negocio con la base de datos</t>
  </si>
  <si>
    <t>P-30 Desarrollo frontend de tareas y cambio de estados</t>
  </si>
  <si>
    <t>Diseñar interfaz de actualización interactiva de estados</t>
  </si>
  <si>
    <t>Implementar eventos de cambio de estado en frontend</t>
  </si>
  <si>
    <t>Conectar interfaz con backend para tareas</t>
  </si>
  <si>
    <t>H-3 - Como Jefa de taller quiero adjuntar notas o instrucciones específicas a cada tarea asignada para evitar errores en la ejecución del trabajo.</t>
  </si>
  <si>
    <t>P-31 Desarrollo backend funcionalidad registro pedidos</t>
  </si>
  <si>
    <t>Modificar Servicios en Landing Page</t>
  </si>
  <si>
    <t>Modificar tipos de servicios en registro pedidos (cambiar el tipo de servicio, abono, etc)</t>
  </si>
  <si>
    <t>Modificar tipografia en modulos</t>
  </si>
  <si>
    <t>H-10 - Como Jefa de taller, quiero poder registrar las tareas realizadas por cada trabajador, para mantener un control de las labores efectuadas.</t>
  </si>
  <si>
    <t>P-32 Desarrollo de registro y asignación de labores por trabajador</t>
  </si>
  <si>
    <t>Diseñar modelo de asignación de mano de obra</t>
  </si>
  <si>
    <t>En Progreso</t>
  </si>
  <si>
    <t>Crear registro de labores por operario</t>
  </si>
  <si>
    <t>Desarrollar interfaz de asignación de operarios</t>
  </si>
  <si>
    <t>H-11 y H-12 - Visualización de tareas por trabajador y seguimiento de trabajos finalizados</t>
  </si>
  <si>
    <t>P-33 Asignación de tareas por trabajador (visualización de los pedidos asignados)</t>
  </si>
  <si>
    <t>Construir vista de estado de tareas individual</t>
  </si>
  <si>
    <t>Integrar consulta de pedidos asignados por operario</t>
  </si>
  <si>
    <t>Trazabilidad y Procesos de Taller (Historias de cambios)</t>
  </si>
  <si>
    <t>P-34 Implementación de trazabilidad de operario por prenda</t>
  </si>
  <si>
    <t>Definir registro de piezas confeccionadas</t>
  </si>
  <si>
    <t>Conectar operario con el registro de la pieza</t>
  </si>
  <si>
    <t>P-35 Implementación de trazabilidad de cortadora por prenda</t>
  </si>
  <si>
    <t>Definir vista de confirmación de corte de tela</t>
  </si>
  <si>
    <t>Vincular proceso de corte con historial</t>
  </si>
  <si>
    <t>Validación con cliente y validaciones (sin historia de usuario asociada)</t>
  </si>
  <si>
    <t>P-36 Pruebas de integración del Sprint 2</t>
  </si>
  <si>
    <t>Desarrollo de pruebas unitarias</t>
  </si>
  <si>
    <t>Sin Empezar</t>
  </si>
  <si>
    <t>Desarrollo de pruebas de integración</t>
  </si>
  <si>
    <t>P-37 Reunión de avance y validación con el cliente (Sprint 2)</t>
  </si>
  <si>
    <t>Validacion sprint review con cliente</t>
  </si>
  <si>
    <t>Reunion sprint review con cliente</t>
  </si>
  <si>
    <t>TOTAL</t>
  </si>
  <si>
    <t>RESTANTE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</si>
</sst>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5" fontId="2" numFmtId="0" xfId="0" applyFill="1" applyFont="1"/>
    <xf borderId="0" fillId="6" fontId="3" numFmtId="0" xfId="0" applyAlignment="1" applyFill="1" applyFont="1">
      <alignment readingOrder="0"/>
    </xf>
    <xf borderId="0" fillId="6" fontId="3" numFmtId="0" xfId="0" applyFill="1" applyFont="1"/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2" numFmtId="0" xfId="0" applyFill="1" applyFont="1"/>
    <xf borderId="0" fillId="8" fontId="3" numFmtId="0" xfId="0" applyFill="1" applyFont="1"/>
    <xf borderId="0" fillId="0" fontId="3" numFmtId="0" xfId="0" applyFont="1"/>
    <xf borderId="0" fillId="5" fontId="2" numFmtId="0" xfId="0" applyAlignment="1" applyFill="1" applyFont="1">
      <alignment horizontal="right" readingOrder="0"/>
    </xf>
    <xf borderId="0" fillId="5" fontId="2" numFmtId="0" xfId="0" applyAlignment="1" applyFill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MOLENKS JOHAN ARAVENA CARVAJAL" id="{d4813992-184c-46fa-af14-b764346d1a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9" dT="2026-09-30T17:52:02.00" personId="{d4813992-184c-46fa-af14-b764346d1ac2}" id="{af05615e-8dd3-4800-9f8c-4b0a73d434af}" done="1">
    <x18tc:text xml:space="preserve">agregar cambios sprint review:
1. FAQ
2. Registros pedidos abono, precios, costes, servicios
3. Iconos titulos
4. Negrita titulos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  <col customWidth="1" min="2" max="2" width="10.25"/>
    <col customWidth="1" min="3" max="3" width="12.63"/>
    <col customWidth="1" min="4" max="4" width="8.38"/>
    <col customWidth="1" min="5" max="13" width="5.0"/>
    <col customWidth="1" min="14" max="32" width="5.88"/>
    <col customWidth="1" min="33" max="33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4" t="s">
        <v>33</v>
      </c>
      <c r="B2" s="5">
        <f>ROUND(SUM(D4:D17),0)</f>
        <v>55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7" t="s">
        <v>34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9" t="s">
        <v>35</v>
      </c>
      <c r="C4" s="10" t="s">
        <v>36</v>
      </c>
      <c r="D4" s="11">
        <v>5.0</v>
      </c>
      <c r="K4" s="12">
        <v>0.0</v>
      </c>
      <c r="AG4" s="13">
        <f t="shared" ref="AG4:AG6" si="1">MIN(A4:AF4)</f>
        <v>0</v>
      </c>
    </row>
    <row r="5">
      <c r="A5" s="9" t="s">
        <v>37</v>
      </c>
      <c r="C5" s="10" t="s">
        <v>36</v>
      </c>
      <c r="D5" s="11">
        <v>5.0</v>
      </c>
      <c r="K5" s="12">
        <v>0.0</v>
      </c>
      <c r="AG5" s="13">
        <f t="shared" si="1"/>
        <v>0</v>
      </c>
    </row>
    <row r="6">
      <c r="A6" s="9" t="s">
        <v>38</v>
      </c>
      <c r="C6" s="10" t="s">
        <v>36</v>
      </c>
      <c r="D6" s="11">
        <v>5.0</v>
      </c>
      <c r="K6" s="12">
        <v>0.0</v>
      </c>
      <c r="AG6" s="13">
        <f t="shared" si="1"/>
        <v>0</v>
      </c>
    </row>
    <row r="7">
      <c r="A7" s="7" t="s">
        <v>39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9" t="s">
        <v>40</v>
      </c>
      <c r="C8" s="10" t="s">
        <v>36</v>
      </c>
      <c r="D8" s="11">
        <v>5.0</v>
      </c>
      <c r="K8" s="12">
        <v>0.0</v>
      </c>
      <c r="AG8" s="13">
        <f t="shared" ref="AG8:AG10" si="2">MIN(A8:AF8)</f>
        <v>0</v>
      </c>
    </row>
    <row r="9">
      <c r="A9" s="9" t="s">
        <v>41</v>
      </c>
      <c r="C9" s="10" t="s">
        <v>36</v>
      </c>
      <c r="D9" s="11">
        <v>5.0</v>
      </c>
      <c r="K9" s="12">
        <v>0.0</v>
      </c>
      <c r="AG9" s="13">
        <f t="shared" si="2"/>
        <v>0</v>
      </c>
    </row>
    <row r="10">
      <c r="A10" s="9" t="s">
        <v>42</v>
      </c>
      <c r="C10" s="10" t="s">
        <v>36</v>
      </c>
      <c r="D10" s="11">
        <v>5.0</v>
      </c>
      <c r="K10" s="12">
        <v>0.0</v>
      </c>
      <c r="AG10" s="13">
        <f t="shared" si="2"/>
        <v>0</v>
      </c>
    </row>
    <row r="11">
      <c r="A11" s="7" t="s">
        <v>43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9" t="s">
        <v>44</v>
      </c>
      <c r="C12" s="10" t="s">
        <v>36</v>
      </c>
      <c r="D12" s="11">
        <v>5.0</v>
      </c>
      <c r="K12" s="12">
        <v>0.0</v>
      </c>
      <c r="AG12" s="13">
        <f t="shared" ref="AG12:AG14" si="3">MIN(A12:AF12)</f>
        <v>0</v>
      </c>
    </row>
    <row r="13">
      <c r="A13" s="9" t="s">
        <v>45</v>
      </c>
      <c r="C13" s="10" t="s">
        <v>36</v>
      </c>
      <c r="D13" s="11">
        <v>5.0</v>
      </c>
      <c r="K13" s="12">
        <v>0.0</v>
      </c>
      <c r="AG13" s="13">
        <f t="shared" si="3"/>
        <v>0</v>
      </c>
    </row>
    <row r="14">
      <c r="A14" s="9" t="s">
        <v>46</v>
      </c>
      <c r="C14" s="10" t="s">
        <v>36</v>
      </c>
      <c r="D14" s="11">
        <v>5.0</v>
      </c>
      <c r="K14" s="12">
        <v>0.0</v>
      </c>
      <c r="AG14" s="13">
        <f t="shared" si="3"/>
        <v>0</v>
      </c>
    </row>
    <row r="15">
      <c r="A15" s="7" t="s">
        <v>47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9" t="s">
        <v>48</v>
      </c>
      <c r="C16" s="7" t="s">
        <v>36</v>
      </c>
      <c r="D16" s="11">
        <v>5.0</v>
      </c>
      <c r="I16" s="14">
        <f t="shared" ref="I16:I17" si="4">D16-5</f>
        <v>0</v>
      </c>
      <c r="AG16" s="13">
        <f t="shared" ref="AG16:AG17" si="5">MIN(A16:AF16)</f>
        <v>0</v>
      </c>
    </row>
    <row r="17">
      <c r="A17" s="9" t="s">
        <v>49</v>
      </c>
      <c r="C17" s="7" t="s">
        <v>36</v>
      </c>
      <c r="D17" s="11">
        <v>5.0</v>
      </c>
      <c r="I17" s="14">
        <f t="shared" si="4"/>
        <v>0</v>
      </c>
      <c r="AG17" s="13">
        <f t="shared" si="5"/>
        <v>0</v>
      </c>
    </row>
    <row r="18">
      <c r="A18" s="4" t="s">
        <v>50</v>
      </c>
      <c r="B18" s="5">
        <f>ROUND(SUM(D20:D28),0)</f>
        <v>45</v>
      </c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7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9" t="s">
        <v>52</v>
      </c>
      <c r="C20" s="10" t="s">
        <v>36</v>
      </c>
      <c r="D20" s="11">
        <v>7.5</v>
      </c>
      <c r="J20" s="15">
        <f t="shared" ref="J20:J21" si="7">D20-2.5</f>
        <v>5</v>
      </c>
      <c r="K20" s="15">
        <f t="shared" ref="K20:L20" si="6">J20-2.5</f>
        <v>2.5</v>
      </c>
      <c r="L20" s="14">
        <f t="shared" si="6"/>
        <v>0</v>
      </c>
      <c r="AG20" s="13">
        <f t="shared" ref="AG20:AG21" si="9">MIN(A20:AF20)</f>
        <v>0</v>
      </c>
    </row>
    <row r="21">
      <c r="A21" s="9" t="s">
        <v>53</v>
      </c>
      <c r="C21" s="10" t="s">
        <v>36</v>
      </c>
      <c r="D21" s="11">
        <v>7.5</v>
      </c>
      <c r="J21" s="15">
        <f t="shared" si="7"/>
        <v>5</v>
      </c>
      <c r="K21" s="15">
        <f t="shared" ref="K21:L21" si="8">J21-2.5</f>
        <v>2.5</v>
      </c>
      <c r="L21" s="14">
        <f t="shared" si="8"/>
        <v>0</v>
      </c>
      <c r="AG21" s="13">
        <f t="shared" si="9"/>
        <v>0</v>
      </c>
    </row>
    <row r="22">
      <c r="A22" s="7" t="s">
        <v>54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A23" s="9" t="s">
        <v>55</v>
      </c>
      <c r="C23" s="10" t="s">
        <v>36</v>
      </c>
      <c r="D23" s="11">
        <v>7.5</v>
      </c>
      <c r="J23" s="15">
        <f t="shared" ref="J23:J24" si="11">D23-2.5</f>
        <v>5</v>
      </c>
      <c r="K23" s="15">
        <f t="shared" ref="K23:L23" si="10">J23-2.5</f>
        <v>2.5</v>
      </c>
      <c r="L23" s="14">
        <f t="shared" si="10"/>
        <v>0</v>
      </c>
      <c r="AG23" s="13">
        <f t="shared" ref="AG23:AG24" si="13">MIN(A23:AF23)</f>
        <v>0</v>
      </c>
    </row>
    <row r="24">
      <c r="A24" s="9" t="s">
        <v>56</v>
      </c>
      <c r="C24" s="10" t="s">
        <v>36</v>
      </c>
      <c r="D24" s="11">
        <v>7.5</v>
      </c>
      <c r="J24" s="15">
        <f t="shared" si="11"/>
        <v>5</v>
      </c>
      <c r="K24" s="15">
        <f t="shared" ref="K24:L24" si="12">J24-2.5</f>
        <v>2.5</v>
      </c>
      <c r="L24" s="14">
        <f t="shared" si="12"/>
        <v>0</v>
      </c>
      <c r="AG24" s="13">
        <f t="shared" si="13"/>
        <v>0</v>
      </c>
    </row>
    <row r="25">
      <c r="A25" s="7" t="s">
        <v>57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9" t="s">
        <v>58</v>
      </c>
      <c r="C26" s="10" t="s">
        <v>36</v>
      </c>
      <c r="D26" s="11">
        <v>5.0</v>
      </c>
      <c r="J26" s="15">
        <f t="shared" ref="J26:J28" si="14">D26-1.5</f>
        <v>3.5</v>
      </c>
      <c r="K26" s="15">
        <f t="shared" ref="K26:K28" si="15">J26-0</f>
        <v>3.5</v>
      </c>
      <c r="L26" s="14">
        <f t="shared" ref="L26:L28" si="16">K26-3.5</f>
        <v>0</v>
      </c>
      <c r="AG26" s="13">
        <f t="shared" ref="AG26:AG28" si="17">MIN(A26:AF26)</f>
        <v>0</v>
      </c>
    </row>
    <row r="27">
      <c r="A27" s="9" t="s">
        <v>59</v>
      </c>
      <c r="C27" s="10" t="s">
        <v>36</v>
      </c>
      <c r="D27" s="11">
        <v>5.0</v>
      </c>
      <c r="J27" s="15">
        <f t="shared" si="14"/>
        <v>3.5</v>
      </c>
      <c r="K27" s="15">
        <f t="shared" si="15"/>
        <v>3.5</v>
      </c>
      <c r="L27" s="14">
        <f t="shared" si="16"/>
        <v>0</v>
      </c>
      <c r="AG27" s="13">
        <f t="shared" si="17"/>
        <v>0</v>
      </c>
    </row>
    <row r="28">
      <c r="A28" s="9" t="s">
        <v>60</v>
      </c>
      <c r="C28" s="10" t="s">
        <v>36</v>
      </c>
      <c r="D28" s="11">
        <v>5.0</v>
      </c>
      <c r="J28" s="15">
        <f t="shared" si="14"/>
        <v>3.5</v>
      </c>
      <c r="K28" s="15">
        <f t="shared" si="15"/>
        <v>3.5</v>
      </c>
      <c r="L28" s="14">
        <f t="shared" si="16"/>
        <v>0</v>
      </c>
      <c r="AG28" s="13">
        <f t="shared" si="17"/>
        <v>0</v>
      </c>
    </row>
    <row r="29">
      <c r="A29" s="4" t="s">
        <v>61</v>
      </c>
      <c r="B29" s="5">
        <f>ROUND(SUM(D31:D33,0),0)</f>
        <v>10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7" t="s">
        <v>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9" t="s">
        <v>63</v>
      </c>
      <c r="C31" s="10" t="s">
        <v>36</v>
      </c>
      <c r="D31" s="11">
        <v>3.33</v>
      </c>
      <c r="Q31" s="12">
        <v>0.0</v>
      </c>
      <c r="AG31" s="13"/>
    </row>
    <row r="32">
      <c r="A32" s="9" t="s">
        <v>64</v>
      </c>
      <c r="C32" s="10" t="s">
        <v>36</v>
      </c>
      <c r="D32" s="11">
        <v>3.33</v>
      </c>
      <c r="Q32" s="12">
        <v>0.0</v>
      </c>
      <c r="AG32" s="13"/>
    </row>
    <row r="33">
      <c r="A33" s="9" t="s">
        <v>65</v>
      </c>
      <c r="C33" s="10" t="s">
        <v>36</v>
      </c>
      <c r="D33" s="11">
        <v>3.33</v>
      </c>
      <c r="Q33" s="12">
        <v>0.0</v>
      </c>
      <c r="AG33" s="13"/>
    </row>
    <row r="34">
      <c r="A34" s="4" t="s">
        <v>66</v>
      </c>
      <c r="B34" s="5">
        <f>ROUND(SUM(D36:D38),0)</f>
        <v>15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7" t="s">
        <v>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9" t="s">
        <v>68</v>
      </c>
      <c r="C36" s="10" t="s">
        <v>69</v>
      </c>
      <c r="D36" s="11">
        <v>5.0</v>
      </c>
      <c r="AG36" s="13">
        <f t="shared" ref="AG36:AG38" si="18">MIN(A36:AF36)</f>
        <v>5</v>
      </c>
    </row>
    <row r="37">
      <c r="A37" s="9" t="s">
        <v>70</v>
      </c>
      <c r="C37" s="10" t="s">
        <v>69</v>
      </c>
      <c r="D37" s="11">
        <v>5.0</v>
      </c>
      <c r="AG37" s="13">
        <f t="shared" si="18"/>
        <v>5</v>
      </c>
    </row>
    <row r="38">
      <c r="A38" s="9" t="s">
        <v>71</v>
      </c>
      <c r="C38" s="10" t="s">
        <v>69</v>
      </c>
      <c r="D38" s="11">
        <v>5.0</v>
      </c>
      <c r="AG38" s="13">
        <f t="shared" si="18"/>
        <v>5</v>
      </c>
    </row>
    <row r="39">
      <c r="A39" s="4" t="s">
        <v>72</v>
      </c>
      <c r="B39" s="5">
        <f>ROUND(SUM(D41:D49),0)</f>
        <v>40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7" t="s">
        <v>73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9" t="s">
        <v>74</v>
      </c>
      <c r="C41" s="10" t="s">
        <v>36</v>
      </c>
      <c r="D41" s="11">
        <v>3.33</v>
      </c>
      <c r="J41" s="15">
        <f t="shared" ref="J41:J43" si="19">D41-1</f>
        <v>2.33</v>
      </c>
      <c r="K41" s="15">
        <f t="shared" ref="K41:K43" si="20">J41-1</f>
        <v>1.33</v>
      </c>
      <c r="L41" s="14">
        <f t="shared" ref="L41:L43" si="21">K41-1.33</f>
        <v>0</v>
      </c>
      <c r="AG41" s="13">
        <f t="shared" ref="AG41:AG43" si="22">MIN(A41:AF41)</f>
        <v>0</v>
      </c>
    </row>
    <row r="42">
      <c r="A42" s="9" t="s">
        <v>75</v>
      </c>
      <c r="C42" s="10" t="s">
        <v>36</v>
      </c>
      <c r="D42" s="11">
        <v>3.33</v>
      </c>
      <c r="J42" s="15">
        <f t="shared" si="19"/>
        <v>2.33</v>
      </c>
      <c r="K42" s="15">
        <f t="shared" si="20"/>
        <v>1.33</v>
      </c>
      <c r="L42" s="14">
        <f t="shared" si="21"/>
        <v>0</v>
      </c>
      <c r="AG42" s="13">
        <f t="shared" si="22"/>
        <v>0</v>
      </c>
    </row>
    <row r="43">
      <c r="A43" s="9" t="s">
        <v>76</v>
      </c>
      <c r="C43" s="10" t="s">
        <v>36</v>
      </c>
      <c r="D43" s="11">
        <v>3.33</v>
      </c>
      <c r="J43" s="15">
        <f t="shared" si="19"/>
        <v>2.33</v>
      </c>
      <c r="K43" s="15">
        <f t="shared" si="20"/>
        <v>1.33</v>
      </c>
      <c r="L43" s="14">
        <f t="shared" si="21"/>
        <v>0</v>
      </c>
      <c r="AG43" s="13">
        <f t="shared" si="22"/>
        <v>0</v>
      </c>
    </row>
    <row r="44">
      <c r="A44" s="7" t="s">
        <v>77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9" t="s">
        <v>78</v>
      </c>
      <c r="C45" s="10" t="s">
        <v>69</v>
      </c>
      <c r="D45" s="11">
        <v>7.5</v>
      </c>
      <c r="AG45" s="13">
        <f t="shared" ref="AG45:AG46" si="23">MIN(A45:AF45)</f>
        <v>7.5</v>
      </c>
    </row>
    <row r="46">
      <c r="A46" s="9" t="s">
        <v>79</v>
      </c>
      <c r="C46" s="10" t="s">
        <v>69</v>
      </c>
      <c r="D46" s="11">
        <v>7.5</v>
      </c>
      <c r="AG46" s="13">
        <f t="shared" si="23"/>
        <v>7.5</v>
      </c>
    </row>
    <row r="47">
      <c r="A47" s="7" t="s">
        <v>80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9" t="s">
        <v>81</v>
      </c>
      <c r="C48" s="10" t="s">
        <v>69</v>
      </c>
      <c r="D48" s="11">
        <v>7.5</v>
      </c>
      <c r="AG48" s="13">
        <f t="shared" ref="AG48:AG49" si="24">MIN(A48:AF48)</f>
        <v>7.5</v>
      </c>
    </row>
    <row r="49">
      <c r="A49" s="9" t="s">
        <v>82</v>
      </c>
      <c r="C49" s="10" t="s">
        <v>69</v>
      </c>
      <c r="D49" s="11">
        <v>7.5</v>
      </c>
      <c r="AG49" s="13">
        <f t="shared" si="24"/>
        <v>7.5</v>
      </c>
    </row>
    <row r="50">
      <c r="A50" s="4" t="s">
        <v>83</v>
      </c>
      <c r="B50" s="5">
        <f>ROUND(SUM(D52:D56),0)</f>
        <v>30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7" t="s">
        <v>84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9" t="s">
        <v>85</v>
      </c>
      <c r="C52" s="8" t="s">
        <v>86</v>
      </c>
      <c r="D52" s="11">
        <v>7.5</v>
      </c>
      <c r="AG52" s="13">
        <f t="shared" ref="AG52:AG53" si="25">MIN(A52:AF52)</f>
        <v>7.5</v>
      </c>
    </row>
    <row r="53">
      <c r="A53" s="9" t="s">
        <v>87</v>
      </c>
      <c r="C53" s="8" t="s">
        <v>86</v>
      </c>
      <c r="D53" s="11">
        <v>7.5</v>
      </c>
      <c r="AG53" s="13">
        <f t="shared" si="25"/>
        <v>7.5</v>
      </c>
    </row>
    <row r="54">
      <c r="A54" s="7" t="s">
        <v>88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9" t="s">
        <v>89</v>
      </c>
      <c r="C55" s="8" t="s">
        <v>86</v>
      </c>
      <c r="D55" s="11">
        <v>7.5</v>
      </c>
      <c r="AG55" s="13">
        <f t="shared" ref="AG55:AG56" si="26">MIN(A55:AF55)</f>
        <v>7.5</v>
      </c>
    </row>
    <row r="56">
      <c r="A56" s="9" t="s">
        <v>90</v>
      </c>
      <c r="C56" s="8" t="s">
        <v>86</v>
      </c>
      <c r="D56" s="11">
        <v>7.5</v>
      </c>
      <c r="AG56" s="13">
        <f t="shared" si="26"/>
        <v>7.5</v>
      </c>
    </row>
    <row r="57">
      <c r="A57" s="4"/>
      <c r="B57" s="16" t="s">
        <v>91</v>
      </c>
      <c r="C57" s="17">
        <f>ROUND(SUM(B:B),0)</f>
        <v>195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16" t="s">
        <v>92</v>
      </c>
      <c r="AF57" s="17">
        <f>ROUND(SUM(AG:AG),0)</f>
        <v>75</v>
      </c>
      <c r="AG57" s="5"/>
    </row>
  </sheetData>
  <conditionalFormatting sqref="AF57">
    <cfRule type="cellIs" dxfId="0" priority="1" operator="equal">
      <formula>0</formula>
    </cfRule>
  </conditionalFormatting>
  <conditionalFormatting sqref="AF57">
    <cfRule type="cellIs" dxfId="1" priority="2" operator="greaterThan">
      <formula>0</formula>
    </cfRule>
  </conditionalFormatting>
  <dataValidations>
    <dataValidation type="list" allowBlank="1" showErrorMessage="1" sqref="C4:C6 C8:C10 C12:C14 C16:C17 C20:C21 C23:C24 C26:C28 C31:C33 C36:C38 C41:C43 C45:C46 C48:C49 C52:C53 C55:C56">
      <formula1>"Sin Empezar,En Progreso,Finalizado"</formula1>
    </dataValidation>
  </dataValidations>
  <drawing r:id="rId4"/>
  <legacyDrawing r:id="rId5"/>
</worksheet>
</file>