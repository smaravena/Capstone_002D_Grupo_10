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uebas unitarias - Sprint 2" sheetId="1" r:id="rId5"/>
    <sheet state="visible" name="Pruebas de Integración - Sprint" sheetId="2" r:id="rId6"/>
  </sheets>
  <definedNames/>
  <calcPr/>
</workbook>
</file>

<file path=xl/sharedStrings.xml><?xml version="1.0" encoding="utf-8"?>
<sst xmlns="http://schemas.openxmlformats.org/spreadsheetml/2006/main" count="155" uniqueCount="113">
  <si>
    <t>Plan de Pruebas Unitarias — Sistema de Gestión Taller Mil &amp; Una Ideas</t>
  </si>
  <si>
    <t>ID</t>
  </si>
  <si>
    <t>Módulo</t>
  </si>
  <si>
    <t>Descripción del caso de prueba</t>
  </si>
  <si>
    <t>Precondiciones</t>
  </si>
  <si>
    <t>Pasos</t>
  </si>
  <si>
    <t>Resultado esperado</t>
  </si>
  <si>
    <t>Resultado obtenido</t>
  </si>
  <si>
    <t>Estado</t>
  </si>
  <si>
    <t>Responsable</t>
  </si>
  <si>
    <t>Fecha</t>
  </si>
  <si>
    <t>Clientes</t>
  </si>
  <si>
    <t>Validación de campos obligatorios al crear/editar un cliente</t>
  </si>
  <si>
    <t>Formulario de cliente abierto (P-26)</t>
  </si>
  <si>
    <t>1. Dejar vacío un campo obligatorio (ej. nombre)
2. Intentar guardar</t>
  </si>
  <si>
    <t>El sistema no guarda el registro y señala el campo faltante</t>
  </si>
  <si>
    <t>Se muestra una validación sobre campo obligatorio</t>
  </si>
  <si>
    <t>Completado</t>
  </si>
  <si>
    <t>Validación de formato de datos de contacto del cliente</t>
  </si>
  <si>
    <t>Formulario de cliente abierto</t>
  </si>
  <si>
    <t>1. Ingresar un correo o teléfono con formato inválido
2. Intentar guardar</t>
  </si>
  <si>
    <t>El sistema rechaza el dato y no guarda el registro</t>
  </si>
  <si>
    <t>Se muestra validación sobre formato incorrecto para el campo correo</t>
  </si>
  <si>
    <t>Cálculo correcto de frecuencia de pedidos de un cliente</t>
  </si>
  <si>
    <t>Cliente con varios pedidos registrados en distintas fechas (P-27)</t>
  </si>
  <si>
    <t>1. Ejecutar la lógica de cálculo de frecuencia</t>
  </si>
  <si>
    <t>El valor calculado coincide con el número real de pedidos del cliente en el periodo definido</t>
  </si>
  <si>
    <t>Se muestra correctamente el cliente con más pedidos</t>
  </si>
  <si>
    <t>Control de tareas</t>
  </si>
  <si>
    <t>Transición válida de estado de una tarea del taller</t>
  </si>
  <si>
    <t>Tarea en estado 'pendiente' (P-30)</t>
  </si>
  <si>
    <t>1. Cambiar estado a 'en proceso'
2. Cambiar estado a 'finalizada'</t>
  </si>
  <si>
    <t>El estado se actualiza correctamente en cada transición, sin permitir saltos no válidos</t>
  </si>
  <si>
    <t>Se actualizan los estados correctamente</t>
  </si>
  <si>
    <t>Persistencia del cambio de estado de una tarea</t>
  </si>
  <si>
    <t>Backend de gestión de tareas disponible (P-29)</t>
  </si>
  <si>
    <t>1. Cambiar el estado de una tarea
2. Consultar la tarea directamente en la base de datos</t>
  </si>
  <si>
    <t>El nuevo estado quedó guardado correctamente en la base de datos</t>
  </si>
  <si>
    <t>Se verifica en la base de datos y se actualiza correctamente</t>
  </si>
  <si>
    <t>Asignación de labores</t>
  </si>
  <si>
    <t>Registro de una labor asociada a un operaria específico</t>
  </si>
  <si>
    <t>operaria existente en el sistema (P-32)</t>
  </si>
  <si>
    <t>1. Registrar una labor y asignarla a un operaria
2. Guardar</t>
  </si>
  <si>
    <t>La labor queda registrada y vinculada correctamente a ese operaria</t>
  </si>
  <si>
    <t>Trabajo queda asignado correctamente al usuario</t>
  </si>
  <si>
    <t>Validación de labor sin operaria seleccionado</t>
  </si>
  <si>
    <t>Formulario de asignación de labor abierto</t>
  </si>
  <si>
    <t>1. Dejar vacío el campo 'operaria'
2. Intentar guardar</t>
  </si>
  <si>
    <t>El sistema no permite guardar la labor sin un operaria asignado</t>
  </si>
  <si>
    <t>Se muestra validación que impide guardar el trabajo</t>
  </si>
  <si>
    <t>Trazabilidad de taller</t>
  </si>
  <si>
    <t>Registro de la pieza confeccionada vinculada al operaria</t>
  </si>
  <si>
    <t>operaria y prenda existentes (P-34)</t>
  </si>
  <si>
    <t>1. Registrar la confección de una pieza
2. Guardar</t>
  </si>
  <si>
    <t>La pieza queda registrada con el operaria responsable correctamente vinculado</t>
  </si>
  <si>
    <t>Trabajo queda registrado correctamente al usuario</t>
  </si>
  <si>
    <t>Registro de confirmación de corte de tela vinculado a la cortadora</t>
  </si>
  <si>
    <t>Cortadora y prenda existentes (P-35)</t>
  </si>
  <si>
    <t>1. Registrar la confirmación de corte de una prenda
2. Guardar</t>
  </si>
  <si>
    <t>El registro de corte queda vinculado correctamente a la cortadora responsable</t>
  </si>
  <si>
    <t>Pedidos</t>
  </si>
  <si>
    <t>Selección del tipo de servicio al registrar un pedido</t>
  </si>
  <si>
    <t>Formulario de pedido con campo 'tipo de servicio' (confección, bordado, prototipado, etc.) (P-31)</t>
  </si>
  <si>
    <t>1. Seleccionar un tipo de servicio distinto a 'confección'
2. Guardar</t>
  </si>
  <si>
    <t>El pedido queda registrado con el tipo de servicio seleccionado</t>
  </si>
  <si>
    <t>Servicio se registra correctamente</t>
  </si>
  <si>
    <t>Landing Page</t>
  </si>
  <si>
    <t>Obtención correcta de las coordenadas del taller para el mapa</t>
  </si>
  <si>
    <t>Servicio backend de coordenadas configurado (P-38)</t>
  </si>
  <si>
    <t>1. Solicitar las coordenadas del taller al backend</t>
  </si>
  <si>
    <t>Se muestra localización del taller en el mapa</t>
  </si>
  <si>
    <t>El mapa muestra correctamente la localización del taller</t>
  </si>
  <si>
    <t>Plan de Pruebas de Integración — Sistema de Gestión Taller Mil &amp; Una Ideas</t>
  </si>
  <si>
    <t>Creación de cliente y verificación en el listado de administración</t>
  </si>
  <si>
    <t>Módulo de gestión de clientes accesible (P-25, P-26)</t>
  </si>
  <si>
    <t>1. Crear un cliente nuevo desde la vista de administración
2. Revisar el listado</t>
  </si>
  <si>
    <t>El cliente aparece correctamente en el listado con sus datos completos</t>
  </si>
  <si>
    <t>Cliente se visualiza correctamente</t>
  </si>
  <si>
    <t>Clientes - Pedidos</t>
  </si>
  <si>
    <t>Selección de un cliente del módulo de gestión al registrar un pedido</t>
  </si>
  <si>
    <t>Al menos un cliente ya registrado (P-25)</t>
  </si>
  <si>
    <t>1. Abrir 'Nuevo pedido'
2. Seleccionar el cliente desde el listado conectado a Supabase</t>
  </si>
  <si>
    <t>El cliente seleccionado queda correctamente asociado al pedido</t>
  </si>
  <si>
    <t>Se asocia correctamente el cliente al pedido</t>
  </si>
  <si>
    <t>Reordenamiento del listado de clientes según frecuencia tras nuevos pedidos</t>
  </si>
  <si>
    <t>Cliente con pedidos previos (P-27)</t>
  </si>
  <si>
    <t>1. Registrar 2 pedidos nuevos para un mismo cliente
2. Consultar el listado de clientes ordenado por frecuencia</t>
  </si>
  <si>
    <t>El cliente sube de posición en el listado reflejando su nueva frecuencia de compra</t>
  </si>
  <si>
    <t>Cliente si sube en el listado</t>
  </si>
  <si>
    <t>Cambio de estado de una tarea desde la interfaz con persistencia</t>
  </si>
  <si>
    <t>Tarea visible en el módulo de control de tareas del taller (P-28, P-29, P-30)</t>
  </si>
  <si>
    <t>1. Cambiar el estado de la tarea desde la interfaz
2. Recargar la página</t>
  </si>
  <si>
    <t>El nuevo estado se mantiene tras recargar (confirma que frontend y backend están correctamente conectados)</t>
  </si>
  <si>
    <t>Estado de tarea se actualiza de manera inmediata</t>
  </si>
  <si>
    <t>Asignación de labor a un operaria y verificación en su vista individual</t>
  </si>
  <si>
    <t>Operaria y labor disponibles (P-32, P-33)</t>
  </si>
  <si>
    <t>1. Asignar una labor a un operaria
2. Iniciar sesión como ese operaria (o consultar su vista)
3. Revisar sus tareas asignadas</t>
  </si>
  <si>
    <t>La labor asignada aparece correctamente en la vista individual del operaria</t>
  </si>
  <si>
    <t>Operaria ve solo sus trabajos asignados</t>
  </si>
  <si>
    <t>Flujo completo de una prenda: corte y armado vinculados al historial</t>
  </si>
  <si>
    <t>Pedido con una prenda asignada a cortadora y operaria (P-34, P-35)</t>
  </si>
  <si>
    <t>1. Registrar la confirmación de corte (cortadora)
2. Registrar la confección de la pieza (operaria)
3. Consultar el historial de la prenda</t>
  </si>
  <si>
    <t>El historial de la prenda muestra ambos registros (corte y confección) vinculados a sus responsables correspondientes</t>
  </si>
  <si>
    <t>Historial de ediciones muestra los estados correctamente</t>
  </si>
  <si>
    <t>Registro de un pedido con tipo de servicio distinto y abono inicial</t>
  </si>
  <si>
    <t>Formulario de 'Nuevo pedido' con los campos de tipo de servicio y abono (P-31)</t>
  </si>
  <si>
    <t>1. Crear un pedido seleccionando servicio 'bordado'
2. Ingresar un monto de abono
3. Guardar</t>
  </si>
  <si>
    <t>El pedido se guarda con el tipo de servicio y el abono correctos, y el precio final refleja el descuento del abono</t>
  </si>
  <si>
    <t>Carga del mapa interactivo con la ubicación real del taller</t>
  </si>
  <si>
    <t>Backend de coordenadas y frontend del mapa integrados (P-38)</t>
  </si>
  <si>
    <t>1. Acceder a la landing page
2. Revisar la sección del mapa</t>
  </si>
  <si>
    <t>El mapa se carga correctamente centrado en la ubicación real del taller</t>
  </si>
  <si>
    <t>Mapa muestra correctamente donde se encuentra el taller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</si>
</sst>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7">
    <font>
      <sz val="10.0"/>
      <color rgb="FF000000"/>
      <name val="Arial"/>
      <scheme val="minor"/>
    </font>
    <font>
      <b/>
      <sz val="14.0"/>
      <color rgb="FF1F4E79"/>
      <name val="Calibri"/>
    </font>
    <font>
      <sz val="11.0"/>
      <color rgb="FF000000"/>
      <name val="Calibri"/>
    </font>
    <font>
      <b/>
      <sz val="10.0"/>
      <color rgb="FFFFFFFF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i/>
      <sz val="10.0"/>
      <color rgb="FF9C65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9C4"/>
        <bgColor rgb="FFFFF9C4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readingOrder="0" shrinkToFit="0" vertical="top" wrapText="0"/>
    </xf>
    <xf borderId="1" fillId="0" fontId="5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readingOrder="0" shrinkToFit="0" vertical="center" wrapText="1"/>
    </xf>
    <xf borderId="1" fillId="3" fontId="0" numFmtId="0" xfId="0" applyAlignment="1" applyBorder="1" applyFill="1" applyFont="1">
      <alignment readingOrder="0" shrinkToFit="0" vertical="center" wrapText="1"/>
    </xf>
    <xf borderId="1" fillId="3" fontId="6" numFmtId="0" xfId="0" applyAlignment="1" applyBorder="1" applyFill="1" applyFont="1">
      <alignment readingOrder="0" shrinkToFit="0" vertical="top" wrapText="0"/>
    </xf>
    <xf borderId="1" fillId="3" fontId="0" numFmtId="0" xfId="0" applyAlignment="1" applyBorder="1" applyFill="1" applyFont="1">
      <alignment readingOrder="0" shrinkToFit="0" vertical="top" wrapText="0"/>
    </xf>
    <xf borderId="1" fillId="3" fontId="0" numFmtId="164" xfId="0" applyAlignment="1" applyBorder="1" applyFill="1" applyFont="1" applyNumberFormat="1">
      <alignment readingOrder="0" shrinkToFit="0" vertical="top" wrapText="0"/>
    </xf>
    <xf borderId="1" fillId="3" fontId="0" numFmtId="0" xfId="0" applyAlignment="1" applyBorder="1" applyFill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38"/>
    <col customWidth="1" min="4" max="4" width="35.0"/>
    <col customWidth="1" min="5" max="5" width="34.0"/>
    <col customWidth="1" min="6" max="6" width="42.63"/>
    <col customWidth="1" min="7" max="7" width="33.38"/>
    <col customWidth="1" min="8" max="8" width="14.88"/>
    <col hidden="1" min="9" max="9" width="12.63"/>
  </cols>
  <sheetData>
    <row r="1" hidden="1">
      <c r="A1" s="1" t="s">
        <v>0</v>
      </c>
    </row>
    <row r="2" hidden="1">
      <c r="A2" s="2"/>
      <c r="B2" s="2"/>
      <c r="C2" s="2"/>
      <c r="D2" s="2"/>
      <c r="E2" s="2"/>
      <c r="F2" s="2"/>
      <c r="G2" s="2"/>
      <c r="H2" s="2"/>
      <c r="I2" s="2"/>
      <c r="J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>
      <c r="A4" s="4" t="str">
        <f t="shared" ref="A4:A14" si="1">"UT-" &amp; ROW()-3</f>
        <v>UT-1</v>
      </c>
      <c r="B4" s="5" t="s">
        <v>11</v>
      </c>
      <c r="C4" s="6" t="s">
        <v>12</v>
      </c>
      <c r="D4" s="6" t="s">
        <v>13</v>
      </c>
      <c r="E4" s="6" t="s">
        <v>14</v>
      </c>
      <c r="F4" s="6" t="s">
        <v>15</v>
      </c>
      <c r="G4" s="7" t="s">
        <v>16</v>
      </c>
      <c r="H4" s="8" t="s">
        <v>17</v>
      </c>
      <c r="I4" s="9"/>
      <c r="J4" s="10">
        <v>46316.0</v>
      </c>
    </row>
    <row r="5">
      <c r="A5" s="4" t="str">
        <f t="shared" si="1"/>
        <v>UT-2</v>
      </c>
      <c r="B5" s="5" t="s">
        <v>11</v>
      </c>
      <c r="C5" s="6" t="s">
        <v>18</v>
      </c>
      <c r="D5" s="6" t="s">
        <v>19</v>
      </c>
      <c r="E5" s="6" t="s">
        <v>20</v>
      </c>
      <c r="F5" s="6" t="s">
        <v>21</v>
      </c>
      <c r="G5" s="7" t="s">
        <v>22</v>
      </c>
      <c r="H5" s="8" t="s">
        <v>17</v>
      </c>
      <c r="I5" s="11"/>
      <c r="J5" s="10">
        <v>46316.0</v>
      </c>
    </row>
    <row r="6">
      <c r="A6" s="4" t="str">
        <f t="shared" si="1"/>
        <v>UT-3</v>
      </c>
      <c r="B6" s="5" t="s">
        <v>11</v>
      </c>
      <c r="C6" s="6" t="s">
        <v>23</v>
      </c>
      <c r="D6" s="6" t="s">
        <v>24</v>
      </c>
      <c r="E6" s="6" t="s">
        <v>25</v>
      </c>
      <c r="F6" s="6" t="s">
        <v>26</v>
      </c>
      <c r="G6" s="7" t="s">
        <v>27</v>
      </c>
      <c r="H6" s="8" t="s">
        <v>17</v>
      </c>
      <c r="I6" s="11"/>
      <c r="J6" s="10">
        <v>46316.0</v>
      </c>
    </row>
    <row r="7">
      <c r="A7" s="4" t="str">
        <f t="shared" si="1"/>
        <v>UT-4</v>
      </c>
      <c r="B7" s="5" t="s">
        <v>28</v>
      </c>
      <c r="C7" s="6" t="s">
        <v>29</v>
      </c>
      <c r="D7" s="6" t="s">
        <v>30</v>
      </c>
      <c r="E7" s="6" t="s">
        <v>31</v>
      </c>
      <c r="F7" s="6" t="s">
        <v>32</v>
      </c>
      <c r="G7" s="7" t="s">
        <v>33</v>
      </c>
      <c r="H7" s="8" t="s">
        <v>17</v>
      </c>
      <c r="I7" s="11"/>
      <c r="J7" s="10">
        <v>46316.0</v>
      </c>
    </row>
    <row r="8">
      <c r="A8" s="4" t="str">
        <f t="shared" si="1"/>
        <v>UT-5</v>
      </c>
      <c r="B8" s="5" t="s">
        <v>28</v>
      </c>
      <c r="C8" s="6" t="s">
        <v>34</v>
      </c>
      <c r="D8" s="6" t="s">
        <v>35</v>
      </c>
      <c r="E8" s="6" t="s">
        <v>36</v>
      </c>
      <c r="F8" s="6" t="s">
        <v>37</v>
      </c>
      <c r="G8" s="7" t="s">
        <v>38</v>
      </c>
      <c r="H8" s="8" t="s">
        <v>17</v>
      </c>
      <c r="I8" s="11"/>
      <c r="J8" s="10">
        <v>46316.0</v>
      </c>
    </row>
    <row r="9">
      <c r="A9" s="4" t="str">
        <f t="shared" si="1"/>
        <v>UT-6</v>
      </c>
      <c r="B9" s="5" t="s">
        <v>39</v>
      </c>
      <c r="C9" s="6" t="s">
        <v>40</v>
      </c>
      <c r="D9" s="6" t="s">
        <v>41</v>
      </c>
      <c r="E9" s="6" t="s">
        <v>42</v>
      </c>
      <c r="F9" s="6" t="s">
        <v>43</v>
      </c>
      <c r="G9" s="7" t="s">
        <v>44</v>
      </c>
      <c r="H9" s="8" t="s">
        <v>17</v>
      </c>
      <c r="I9" s="11"/>
      <c r="J9" s="10">
        <v>46316.0</v>
      </c>
    </row>
    <row r="10">
      <c r="A10" s="4" t="str">
        <f t="shared" si="1"/>
        <v>UT-7</v>
      </c>
      <c r="B10" s="5" t="s">
        <v>39</v>
      </c>
      <c r="C10" s="6" t="s">
        <v>45</v>
      </c>
      <c r="D10" s="6" t="s">
        <v>46</v>
      </c>
      <c r="E10" s="6" t="s">
        <v>47</v>
      </c>
      <c r="F10" s="6" t="s">
        <v>48</v>
      </c>
      <c r="G10" s="7" t="s">
        <v>49</v>
      </c>
      <c r="H10" s="8" t="s">
        <v>17</v>
      </c>
      <c r="I10" s="11"/>
      <c r="J10" s="10">
        <v>46316.0</v>
      </c>
    </row>
    <row r="11">
      <c r="A11" s="4" t="str">
        <f t="shared" si="1"/>
        <v>UT-8</v>
      </c>
      <c r="B11" s="5" t="s">
        <v>50</v>
      </c>
      <c r="C11" s="6" t="s">
        <v>51</v>
      </c>
      <c r="D11" s="6" t="s">
        <v>52</v>
      </c>
      <c r="E11" s="6" t="s">
        <v>53</v>
      </c>
      <c r="F11" s="6" t="s">
        <v>54</v>
      </c>
      <c r="G11" s="7" t="s">
        <v>55</v>
      </c>
      <c r="H11" s="8" t="s">
        <v>17</v>
      </c>
      <c r="I11" s="11"/>
      <c r="J11" s="10">
        <v>46316.0</v>
      </c>
    </row>
    <row r="12">
      <c r="A12" s="4" t="str">
        <f t="shared" si="1"/>
        <v>UT-9</v>
      </c>
      <c r="B12" s="5" t="s">
        <v>50</v>
      </c>
      <c r="C12" s="6" t="s">
        <v>56</v>
      </c>
      <c r="D12" s="6" t="s">
        <v>57</v>
      </c>
      <c r="E12" s="6" t="s">
        <v>58</v>
      </c>
      <c r="F12" s="6" t="s">
        <v>59</v>
      </c>
      <c r="G12" s="7" t="s">
        <v>55</v>
      </c>
      <c r="H12" s="8" t="s">
        <v>17</v>
      </c>
      <c r="I12" s="11"/>
      <c r="J12" s="10">
        <v>46316.0</v>
      </c>
    </row>
    <row r="13">
      <c r="A13" s="4" t="str">
        <f t="shared" si="1"/>
        <v>UT-10</v>
      </c>
      <c r="B13" s="5" t="s">
        <v>60</v>
      </c>
      <c r="C13" s="6" t="s">
        <v>61</v>
      </c>
      <c r="D13" s="6" t="s">
        <v>62</v>
      </c>
      <c r="E13" s="6" t="s">
        <v>63</v>
      </c>
      <c r="F13" s="6" t="s">
        <v>64</v>
      </c>
      <c r="G13" s="7" t="s">
        <v>65</v>
      </c>
      <c r="H13" s="8" t="s">
        <v>17</v>
      </c>
      <c r="I13" s="11"/>
      <c r="J13" s="10">
        <v>46316.0</v>
      </c>
    </row>
    <row r="14">
      <c r="A14" s="4" t="str">
        <f t="shared" si="1"/>
        <v>UT-11</v>
      </c>
      <c r="B14" s="5" t="s">
        <v>66</v>
      </c>
      <c r="C14" s="6" t="s">
        <v>67</v>
      </c>
      <c r="D14" s="6" t="s">
        <v>68</v>
      </c>
      <c r="E14" s="6" t="s">
        <v>69</v>
      </c>
      <c r="F14" s="6" t="s">
        <v>70</v>
      </c>
      <c r="G14" s="7" t="s">
        <v>71</v>
      </c>
      <c r="H14" s="8" t="s">
        <v>17</v>
      </c>
      <c r="I14" s="11"/>
      <c r="J14" s="10">
        <v>46316.0</v>
      </c>
    </row>
  </sheetData>
  <mergeCells count="1">
    <mergeCell ref="A1:J1"/>
  </mergeCells>
  <dataValidations>
    <dataValidation type="list" allowBlank="1" showErrorMessage="1" sqref="H4:H14">
      <formula1>"Pendiente,Completado"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0"/>
    <col customWidth="1" min="4" max="4" width="20.75"/>
    <col customWidth="1" min="5" max="5" width="33.5"/>
    <col customWidth="1" min="6" max="6" width="35.38"/>
    <col customWidth="1" min="7" max="7" width="33.5"/>
    <col hidden="1" min="9" max="9" width="12.63"/>
  </cols>
  <sheetData>
    <row r="1" hidden="1">
      <c r="A1" s="1" t="s">
        <v>72</v>
      </c>
    </row>
    <row r="2" hidden="1">
      <c r="A2" s="2"/>
      <c r="B2" s="2"/>
      <c r="C2" s="2"/>
      <c r="D2" s="2"/>
      <c r="E2" s="2"/>
      <c r="F2" s="2"/>
      <c r="G2" s="2"/>
      <c r="H2" s="2"/>
      <c r="I2" s="2"/>
      <c r="J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>
      <c r="A4" s="4" t="str">
        <f t="shared" ref="A4:A11" si="1">"IT-" &amp; ROW()-3</f>
        <v>IT-1</v>
      </c>
      <c r="B4" s="6" t="s">
        <v>11</v>
      </c>
      <c r="C4" s="6" t="s">
        <v>73</v>
      </c>
      <c r="D4" s="6" t="s">
        <v>74</v>
      </c>
      <c r="E4" s="6" t="s">
        <v>75</v>
      </c>
      <c r="F4" s="6" t="s">
        <v>76</v>
      </c>
      <c r="G4" s="7" t="s">
        <v>77</v>
      </c>
      <c r="H4" s="8" t="s">
        <v>17</v>
      </c>
      <c r="I4" s="11"/>
      <c r="J4" s="10">
        <v>46316.0</v>
      </c>
    </row>
    <row r="5">
      <c r="A5" s="4" t="str">
        <f t="shared" si="1"/>
        <v>IT-2</v>
      </c>
      <c r="B5" s="6" t="s">
        <v>78</v>
      </c>
      <c r="C5" s="6" t="s">
        <v>79</v>
      </c>
      <c r="D5" s="6" t="s">
        <v>80</v>
      </c>
      <c r="E5" s="6" t="s">
        <v>81</v>
      </c>
      <c r="F5" s="6" t="s">
        <v>82</v>
      </c>
      <c r="G5" s="7" t="s">
        <v>83</v>
      </c>
      <c r="H5" s="8" t="s">
        <v>17</v>
      </c>
      <c r="I5" s="11"/>
      <c r="J5" s="10">
        <v>46316.0</v>
      </c>
    </row>
    <row r="6">
      <c r="A6" s="4" t="str">
        <f t="shared" si="1"/>
        <v>IT-3</v>
      </c>
      <c r="B6" s="6" t="s">
        <v>11</v>
      </c>
      <c r="C6" s="6" t="s">
        <v>84</v>
      </c>
      <c r="D6" s="6" t="s">
        <v>85</v>
      </c>
      <c r="E6" s="6" t="s">
        <v>86</v>
      </c>
      <c r="F6" s="6" t="s">
        <v>87</v>
      </c>
      <c r="G6" s="7" t="s">
        <v>88</v>
      </c>
      <c r="H6" s="8" t="s">
        <v>17</v>
      </c>
      <c r="I6" s="11"/>
      <c r="J6" s="10">
        <v>46316.0</v>
      </c>
    </row>
    <row r="7">
      <c r="A7" s="4" t="str">
        <f t="shared" si="1"/>
        <v>IT-4</v>
      </c>
      <c r="B7" s="6" t="s">
        <v>28</v>
      </c>
      <c r="C7" s="6" t="s">
        <v>89</v>
      </c>
      <c r="D7" s="6" t="s">
        <v>90</v>
      </c>
      <c r="E7" s="6" t="s">
        <v>91</v>
      </c>
      <c r="F7" s="6" t="s">
        <v>92</v>
      </c>
      <c r="G7" s="7" t="s">
        <v>93</v>
      </c>
      <c r="H7" s="8" t="s">
        <v>17</v>
      </c>
      <c r="I7" s="11"/>
      <c r="J7" s="10">
        <v>46316.0</v>
      </c>
    </row>
    <row r="8">
      <c r="A8" s="4" t="str">
        <f t="shared" si="1"/>
        <v>IT-5</v>
      </c>
      <c r="B8" s="6" t="s">
        <v>39</v>
      </c>
      <c r="C8" s="6" t="s">
        <v>94</v>
      </c>
      <c r="D8" s="6" t="s">
        <v>95</v>
      </c>
      <c r="E8" s="6" t="s">
        <v>96</v>
      </c>
      <c r="F8" s="6" t="s">
        <v>97</v>
      </c>
      <c r="G8" s="7" t="s">
        <v>98</v>
      </c>
      <c r="H8" s="8" t="s">
        <v>17</v>
      </c>
      <c r="I8" s="11"/>
      <c r="J8" s="10">
        <v>46316.0</v>
      </c>
    </row>
    <row r="9">
      <c r="A9" s="4" t="str">
        <f t="shared" si="1"/>
        <v>IT-6</v>
      </c>
      <c r="B9" s="6" t="s">
        <v>50</v>
      </c>
      <c r="C9" s="6" t="s">
        <v>99</v>
      </c>
      <c r="D9" s="6" t="s">
        <v>100</v>
      </c>
      <c r="E9" s="6" t="s">
        <v>101</v>
      </c>
      <c r="F9" s="6" t="s">
        <v>102</v>
      </c>
      <c r="G9" s="7" t="s">
        <v>103</v>
      </c>
      <c r="H9" s="8" t="s">
        <v>17</v>
      </c>
      <c r="I9" s="11"/>
      <c r="J9" s="10">
        <v>46316.0</v>
      </c>
    </row>
    <row r="10">
      <c r="A10" s="4" t="str">
        <f t="shared" si="1"/>
        <v>IT-7</v>
      </c>
      <c r="B10" s="6" t="s">
        <v>60</v>
      </c>
      <c r="C10" s="6" t="s">
        <v>104</v>
      </c>
      <c r="D10" s="6" t="s">
        <v>105</v>
      </c>
      <c r="E10" s="6" t="s">
        <v>106</v>
      </c>
      <c r="F10" s="6" t="s">
        <v>107</v>
      </c>
      <c r="G10" s="7" t="s">
        <v>65</v>
      </c>
      <c r="H10" s="8" t="s">
        <v>17</v>
      </c>
      <c r="I10" s="11"/>
      <c r="J10" s="10">
        <v>46316.0</v>
      </c>
    </row>
    <row r="11">
      <c r="A11" s="4" t="str">
        <f t="shared" si="1"/>
        <v>IT-8</v>
      </c>
      <c r="B11" s="6" t="s">
        <v>66</v>
      </c>
      <c r="C11" s="6" t="s">
        <v>108</v>
      </c>
      <c r="D11" s="6" t="s">
        <v>109</v>
      </c>
      <c r="E11" s="6" t="s">
        <v>110</v>
      </c>
      <c r="F11" s="6" t="s">
        <v>111</v>
      </c>
      <c r="G11" s="7" t="s">
        <v>112</v>
      </c>
      <c r="H11" s="8" t="s">
        <v>17</v>
      </c>
      <c r="I11" s="11"/>
      <c r="J11" s="10">
        <v>46316.0</v>
      </c>
    </row>
  </sheetData>
  <mergeCells count="1">
    <mergeCell ref="A1:J1"/>
  </mergeCells>
  <dataValidations>
    <dataValidation type="list" allowBlank="1" showErrorMessage="1" sqref="H4:H11">
      <formula1>"Pendiente,Completado"</formula1>
    </dataValidation>
  </dataValidations>
  <drawing r:id="rId1"/>
</worksheet>
</file>