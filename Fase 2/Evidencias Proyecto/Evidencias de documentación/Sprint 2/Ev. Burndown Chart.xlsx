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 - Sprint 2" sheetId="1" r:id="rId5"/>
  </sheets>
  <definedNames/>
  <calcPr/>
</workbook>
</file>

<file path=xl/sharedStrings.xml><?xml version="1.0" encoding="utf-8"?>
<sst xmlns="http://schemas.openxmlformats.org/spreadsheetml/2006/main" count="21" uniqueCount="21">
  <si>
    <t>Dia</t>
  </si>
  <si>
    <t>Pts Ideales Restantes</t>
  </si>
  <si>
    <t>Pts Reales Hechos</t>
  </si>
  <si>
    <t>Pts Totales</t>
  </si>
  <si>
    <t>Dias Totales</t>
  </si>
  <si>
    <t>Pts Ideales</t>
  </si>
  <si>
    <t>Desarrollo vista de gestión de clientes</t>
  </si>
  <si>
    <t>Desarrollo logica de gestión de clientes</t>
  </si>
  <si>
    <t>Desarrollo de vista de clientes y ordenamiento por frecuencia</t>
  </si>
  <si>
    <t>Desarrollo vista control de tareas en el taller</t>
  </si>
  <si>
    <t>Desarrollo logica control de tareas en el taller</t>
  </si>
  <si>
    <t>Desarrollo frontend de tareas y cambio de estados</t>
  </si>
  <si>
    <t>Desarrollo backend funcionalidad registro pedidos</t>
  </si>
  <si>
    <t>Desarrollo de registro y asignación de labores por trabajador</t>
  </si>
  <si>
    <t>Asignación de tareas por trabajador (visualización de los pedidos asignados)</t>
  </si>
  <si>
    <t>Implementación de trazabilidad de operario por prenda</t>
  </si>
  <si>
    <t>Implementación de trazabilidad de cortadora por prenda</t>
  </si>
  <si>
    <t>Pruebas de integración del Sprint 2</t>
  </si>
  <si>
    <t>Reunión de avance y validación con el cliente (Sprint 2)</t>
  </si>
  <si>
    <t>Integración de mapa interactivo</t>
  </si>
  <si>
    <t>HOY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</si>
</sst>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3" fontId="2" numFmtId="0" xfId="0" applyAlignment="1" applyFill="1" applyFont="1">
      <alignment horizontal="right" readingOrder="0" vertical="bottom"/>
    </xf>
    <xf borderId="0" fillId="0" fontId="3" numFmtId="0" xfId="0" applyAlignment="1" applyFont="1">
      <alignment readingOrder="0"/>
    </xf>
    <xf borderId="0" fillId="4" fontId="2" numFmtId="0" xfId="0" applyAlignment="1" applyFill="1" applyFont="1">
      <alignment horizontal="right" readingOrder="0" vertical="bottom"/>
    </xf>
    <xf borderId="0" fillId="5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6" fontId="2" numFmtId="0" xfId="0" applyAlignment="1" applyFill="1" applyFont="1">
      <alignment horizontal="right" readingOrder="0" vertical="bottom"/>
    </xf>
    <xf borderId="0" fillId="4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6" fontId="2" numFmtId="0" xfId="0" applyAlignment="1" applyFill="1" applyFont="1">
      <alignment horizontal="right" vertical="bottom"/>
    </xf>
    <xf borderId="0" fillId="5" fontId="2" numFmtId="0" xfId="0" applyAlignment="1" applyFill="1" applyFont="1">
      <alignment horizontal="right" readingOrder="0" vertical="bottom"/>
    </xf>
    <xf borderId="0" fillId="7" fontId="4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Chart -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'Burndown Chart - Sprint 2'!$B$1</c:f>
            </c:strRef>
          </c:tx>
          <c:spPr>
            <a:ln cmpd="sng">
              <a:solidFill>
                <a:srgbClr val="4285F4"/>
              </a:solidFill>
              <a:prstDash val="sysDot"/>
            </a:ln>
          </c:spPr>
          <c:marker>
            <c:symbol val="none"/>
          </c:marker>
          <c:cat>
            <c:strRef>
              <c:f>'Burndown Chart - Sprint 2'!$A$2:$A$1000</c:f>
            </c:strRef>
          </c:cat>
          <c:val>
            <c:numRef>
              <c:f>'Burndown Chart - Sprint 2'!$B$2:$B$1000</c:f>
              <c:numCache/>
            </c:numRef>
          </c:val>
          <c:smooth val="0"/>
        </c:ser>
        <c:ser>
          <c:idx val="1"/>
          <c:order val="1"/>
          <c:tx>
            <c:strRef>
              <c:f>'Burndown Chart - Sprint 2'!$C$1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'Burndown Chart - Sprint 2'!$A$2:$A$1000</c:f>
            </c:strRef>
          </c:cat>
          <c:val>
            <c:numRef>
              <c:f>'Burndown Chart - Sprint 2'!$C$2:$C$1000</c:f>
              <c:numCache/>
            </c:numRef>
          </c:val>
          <c:smooth val="0"/>
        </c:ser>
        <c:axId val="2022744582"/>
        <c:axId val="1557790823"/>
      </c:lineChart>
      <c:catAx>
        <c:axId val="2022744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790823"/>
      </c:catAx>
      <c:valAx>
        <c:axId val="1557790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744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8.25"/>
    <col customWidth="1" min="3" max="3" width="16.0"/>
    <col customWidth="1" min="5" max="5" width="9.75"/>
    <col customWidth="1" min="6" max="6" width="10.75"/>
    <col customWidth="1" min="7" max="7" width="9.75"/>
    <col customWidth="1" min="12" max="12" width="2.88"/>
    <col customWidth="1" min="13" max="13" width="58.0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  <c r="H1" s="2"/>
      <c r="I1" s="2"/>
      <c r="J1" s="2"/>
      <c r="K1" s="2"/>
      <c r="L1" s="2"/>
    </row>
    <row r="2">
      <c r="A2" s="3">
        <v>1.0</v>
      </c>
      <c r="B2" s="3">
        <f>E2</f>
        <v>195</v>
      </c>
      <c r="C2" s="3">
        <f>E2-0</f>
        <v>195</v>
      </c>
      <c r="E2" s="3">
        <f>SUM(L:L)</f>
        <v>195</v>
      </c>
      <c r="F2" s="3">
        <f>MAX(A:A)</f>
        <v>28</v>
      </c>
      <c r="G2" s="4">
        <f>E2/F2</f>
        <v>6.964285714</v>
      </c>
      <c r="H2" s="2"/>
      <c r="I2" s="2"/>
      <c r="J2" s="2"/>
      <c r="K2" s="2"/>
      <c r="L2" s="5">
        <v>15.0</v>
      </c>
      <c r="M2" s="6" t="s">
        <v>6</v>
      </c>
    </row>
    <row r="3">
      <c r="A3" s="3">
        <v>2.0</v>
      </c>
      <c r="B3" s="4">
        <f t="shared" ref="B3:B29" si="1">B2-$G$2</f>
        <v>188.0357143</v>
      </c>
      <c r="C3" s="3">
        <f t="shared" ref="C3:C5" si="2">C2-0</f>
        <v>195</v>
      </c>
      <c r="E3" s="2"/>
      <c r="F3" s="2"/>
      <c r="G3" s="2"/>
      <c r="H3" s="2"/>
      <c r="I3" s="2"/>
      <c r="J3" s="2"/>
      <c r="K3" s="2"/>
      <c r="L3" s="5">
        <v>15.0</v>
      </c>
      <c r="M3" s="6" t="s">
        <v>7</v>
      </c>
    </row>
    <row r="4">
      <c r="A4" s="3">
        <v>3.0</v>
      </c>
      <c r="B4" s="4">
        <f t="shared" si="1"/>
        <v>181.0714286</v>
      </c>
      <c r="C4" s="3">
        <f t="shared" si="2"/>
        <v>195</v>
      </c>
      <c r="E4" s="2"/>
      <c r="F4" s="2"/>
      <c r="G4" s="2"/>
      <c r="H4" s="2"/>
      <c r="I4" s="2"/>
      <c r="J4" s="2"/>
      <c r="K4" s="2"/>
      <c r="L4" s="5">
        <v>15.0</v>
      </c>
      <c r="M4" s="6" t="s">
        <v>8</v>
      </c>
    </row>
    <row r="5">
      <c r="A5" s="3">
        <v>4.0</v>
      </c>
      <c r="B5" s="4">
        <f t="shared" si="1"/>
        <v>174.1071429</v>
      </c>
      <c r="C5" s="3">
        <f t="shared" si="2"/>
        <v>195</v>
      </c>
      <c r="D5" s="2"/>
      <c r="E5" s="2"/>
      <c r="F5" s="2"/>
      <c r="G5" s="2"/>
      <c r="H5" s="2"/>
      <c r="I5" s="2"/>
      <c r="J5" s="2"/>
      <c r="K5" s="2"/>
      <c r="L5" s="7">
        <v>15.0</v>
      </c>
      <c r="M5" s="6" t="s">
        <v>9</v>
      </c>
    </row>
    <row r="6">
      <c r="A6" s="3">
        <v>5.0</v>
      </c>
      <c r="B6" s="4">
        <f t="shared" si="1"/>
        <v>167.1428571</v>
      </c>
      <c r="C6" s="8">
        <f>C5-10</f>
        <v>185</v>
      </c>
      <c r="E6" s="2"/>
      <c r="F6" s="2"/>
      <c r="G6" s="2"/>
      <c r="H6" s="2"/>
      <c r="I6" s="2"/>
      <c r="J6" s="2"/>
      <c r="K6" s="2"/>
      <c r="L6" s="7">
        <v>15.0</v>
      </c>
      <c r="M6" s="6" t="s">
        <v>10</v>
      </c>
    </row>
    <row r="7">
      <c r="A7" s="3">
        <v>6.0</v>
      </c>
      <c r="B7" s="4">
        <f t="shared" si="1"/>
        <v>160.1785714</v>
      </c>
      <c r="C7" s="3">
        <f>C6-0</f>
        <v>185</v>
      </c>
      <c r="D7" s="2"/>
      <c r="E7" s="2"/>
      <c r="F7" s="2"/>
      <c r="G7" s="2"/>
      <c r="H7" s="2"/>
      <c r="I7" s="2"/>
      <c r="J7" s="2"/>
      <c r="K7" s="2"/>
      <c r="L7" s="7">
        <v>15.0</v>
      </c>
      <c r="M7" s="6" t="s">
        <v>11</v>
      </c>
    </row>
    <row r="8">
      <c r="A8" s="3">
        <v>7.0</v>
      </c>
      <c r="B8" s="4">
        <f t="shared" si="1"/>
        <v>153.2142857</v>
      </c>
      <c r="C8" s="9">
        <f>C7-45</f>
        <v>140</v>
      </c>
      <c r="E8" s="2"/>
      <c r="F8" s="2"/>
      <c r="G8" s="2"/>
      <c r="H8" s="2"/>
      <c r="I8" s="2"/>
      <c r="J8" s="2"/>
      <c r="K8" s="2"/>
      <c r="L8" s="10">
        <v>10.0</v>
      </c>
      <c r="M8" s="6" t="s">
        <v>12</v>
      </c>
    </row>
    <row r="9">
      <c r="A9" s="3">
        <v>8.0</v>
      </c>
      <c r="B9" s="4">
        <f t="shared" si="1"/>
        <v>146.25</v>
      </c>
      <c r="C9" s="11">
        <f>C8-55</f>
        <v>85</v>
      </c>
      <c r="E9" s="2"/>
      <c r="F9" s="2"/>
      <c r="G9" s="2"/>
      <c r="H9" s="2"/>
      <c r="I9" s="2"/>
      <c r="J9" s="2"/>
      <c r="K9" s="2"/>
      <c r="L9" s="12">
        <v>15.0</v>
      </c>
      <c r="M9" s="6" t="s">
        <v>13</v>
      </c>
    </row>
    <row r="10">
      <c r="A10" s="3">
        <v>9.0</v>
      </c>
      <c r="B10" s="4">
        <f t="shared" si="1"/>
        <v>139.2857143</v>
      </c>
      <c r="C10" s="3">
        <f t="shared" ref="C10:C13" si="3">C9-0</f>
        <v>85</v>
      </c>
      <c r="D10" s="2"/>
      <c r="E10" s="2"/>
      <c r="F10" s="2"/>
      <c r="G10" s="2"/>
      <c r="H10" s="2"/>
      <c r="I10" s="2"/>
      <c r="J10" s="2"/>
      <c r="K10" s="2"/>
      <c r="L10" s="7">
        <v>10.0</v>
      </c>
      <c r="M10" s="6" t="s">
        <v>14</v>
      </c>
    </row>
    <row r="11">
      <c r="A11" s="3">
        <v>10.0</v>
      </c>
      <c r="B11" s="4">
        <f t="shared" si="1"/>
        <v>132.3214286</v>
      </c>
      <c r="C11" s="3">
        <f t="shared" si="3"/>
        <v>85</v>
      </c>
      <c r="E11" s="2"/>
      <c r="F11" s="2"/>
      <c r="G11" s="2"/>
      <c r="H11" s="2"/>
      <c r="I11" s="2"/>
      <c r="J11" s="2"/>
      <c r="K11" s="2"/>
      <c r="L11" s="12">
        <v>15.0</v>
      </c>
      <c r="M11" s="6" t="s">
        <v>15</v>
      </c>
    </row>
    <row r="12">
      <c r="A12" s="3">
        <v>11.0</v>
      </c>
      <c r="B12" s="4">
        <f t="shared" si="1"/>
        <v>125.3571429</v>
      </c>
      <c r="C12" s="3">
        <f t="shared" si="3"/>
        <v>85</v>
      </c>
      <c r="D12" s="2"/>
      <c r="E12" s="2"/>
      <c r="F12" s="2"/>
      <c r="G12" s="2"/>
      <c r="H12" s="2"/>
      <c r="I12" s="2"/>
      <c r="J12" s="2"/>
      <c r="K12" s="2"/>
      <c r="L12" s="12">
        <v>15.0</v>
      </c>
      <c r="M12" s="6" t="s">
        <v>16</v>
      </c>
    </row>
    <row r="13">
      <c r="A13" s="3">
        <v>12.0</v>
      </c>
      <c r="B13" s="4">
        <f t="shared" si="1"/>
        <v>118.3928571</v>
      </c>
      <c r="C13" s="3">
        <f t="shared" si="3"/>
        <v>85</v>
      </c>
      <c r="E13" s="2"/>
      <c r="F13" s="2"/>
      <c r="G13" s="2"/>
      <c r="H13" s="2"/>
      <c r="I13" s="2"/>
      <c r="J13" s="2"/>
      <c r="K13" s="2"/>
      <c r="L13" s="12">
        <v>15.0</v>
      </c>
      <c r="M13" s="6" t="s">
        <v>17</v>
      </c>
    </row>
    <row r="14">
      <c r="A14" s="3">
        <v>13.0</v>
      </c>
      <c r="B14" s="4">
        <f t="shared" si="1"/>
        <v>111.4285714</v>
      </c>
      <c r="C14" s="13">
        <f>C13-10</f>
        <v>75</v>
      </c>
      <c r="E14" s="2"/>
      <c r="F14" s="2"/>
      <c r="G14" s="2"/>
      <c r="H14" s="2"/>
      <c r="I14" s="2"/>
      <c r="J14" s="2"/>
      <c r="K14" s="2"/>
      <c r="L14" s="12">
        <v>15.0</v>
      </c>
      <c r="M14" s="6" t="s">
        <v>18</v>
      </c>
    </row>
    <row r="15">
      <c r="A15" s="3">
        <v>14.0</v>
      </c>
      <c r="B15" s="4">
        <f t="shared" si="1"/>
        <v>104.4642857</v>
      </c>
      <c r="C15" s="3">
        <f t="shared" ref="C15:C29" si="4">C14-0</f>
        <v>75</v>
      </c>
      <c r="E15" s="2"/>
      <c r="F15" s="2"/>
      <c r="G15" s="2"/>
      <c r="H15" s="2"/>
      <c r="I15" s="2"/>
      <c r="J15" s="2"/>
      <c r="K15" s="2"/>
      <c r="L15" s="14">
        <v>10.0</v>
      </c>
      <c r="M15" s="6" t="s">
        <v>19</v>
      </c>
    </row>
    <row r="16">
      <c r="A16" s="3">
        <v>15.0</v>
      </c>
      <c r="B16" s="4">
        <f t="shared" si="1"/>
        <v>97.5</v>
      </c>
      <c r="C16" s="3">
        <f t="shared" si="4"/>
        <v>75</v>
      </c>
      <c r="D16" s="2"/>
      <c r="E16" s="2"/>
      <c r="F16" s="2"/>
      <c r="G16" s="2"/>
      <c r="H16" s="2"/>
      <c r="I16" s="2"/>
      <c r="J16" s="2"/>
      <c r="K16" s="2"/>
      <c r="L16" s="2"/>
    </row>
    <row r="17">
      <c r="A17" s="3">
        <v>16.0</v>
      </c>
      <c r="B17" s="4">
        <f t="shared" si="1"/>
        <v>90.53571429</v>
      </c>
      <c r="C17" s="3">
        <f t="shared" si="4"/>
        <v>75</v>
      </c>
      <c r="E17" s="2"/>
      <c r="F17" s="2"/>
      <c r="G17" s="2"/>
      <c r="H17" s="2"/>
      <c r="I17" s="2"/>
      <c r="J17" s="2"/>
      <c r="K17" s="2"/>
      <c r="L17" s="2"/>
    </row>
    <row r="18">
      <c r="A18" s="3">
        <v>17.0</v>
      </c>
      <c r="B18" s="4">
        <f t="shared" si="1"/>
        <v>83.57142857</v>
      </c>
      <c r="C18" s="3">
        <f t="shared" si="4"/>
        <v>75</v>
      </c>
      <c r="D18" s="15" t="s">
        <v>20</v>
      </c>
      <c r="E18" s="2"/>
      <c r="F18" s="2"/>
      <c r="G18" s="2"/>
      <c r="H18" s="2"/>
      <c r="I18" s="2"/>
      <c r="J18" s="2"/>
      <c r="K18" s="2"/>
      <c r="L18" s="2"/>
    </row>
    <row r="19">
      <c r="A19" s="3">
        <v>18.0</v>
      </c>
      <c r="B19" s="4">
        <f t="shared" si="1"/>
        <v>76.60714286</v>
      </c>
      <c r="C19" s="3">
        <f t="shared" si="4"/>
        <v>75</v>
      </c>
      <c r="D19" s="2"/>
      <c r="E19" s="2"/>
      <c r="F19" s="2"/>
      <c r="G19" s="2"/>
      <c r="H19" s="2"/>
      <c r="I19" s="2"/>
      <c r="J19" s="2"/>
      <c r="K19" s="2"/>
      <c r="L19" s="2"/>
    </row>
    <row r="20">
      <c r="A20" s="3">
        <v>19.0</v>
      </c>
      <c r="B20" s="4">
        <f t="shared" si="1"/>
        <v>69.64285714</v>
      </c>
      <c r="C20" s="3">
        <f t="shared" si="4"/>
        <v>75</v>
      </c>
      <c r="D20" s="2"/>
      <c r="E20" s="2"/>
      <c r="F20" s="2"/>
      <c r="G20" s="2"/>
      <c r="H20" s="2"/>
      <c r="I20" s="2"/>
      <c r="J20" s="2"/>
      <c r="K20" s="2"/>
      <c r="L20" s="2"/>
    </row>
    <row r="21">
      <c r="A21" s="3">
        <v>20.0</v>
      </c>
      <c r="B21" s="4">
        <f t="shared" si="1"/>
        <v>62.67857143</v>
      </c>
      <c r="C21" s="3">
        <f t="shared" si="4"/>
        <v>75</v>
      </c>
      <c r="D21" s="2"/>
      <c r="E21" s="2"/>
      <c r="F21" s="2"/>
      <c r="G21" s="2"/>
      <c r="H21" s="2"/>
      <c r="I21" s="2"/>
      <c r="J21" s="2"/>
      <c r="K21" s="2"/>
      <c r="L21" s="2"/>
    </row>
    <row r="22">
      <c r="A22" s="3">
        <v>21.0</v>
      </c>
      <c r="B22" s="4">
        <f t="shared" si="1"/>
        <v>55.71428571</v>
      </c>
      <c r="C22" s="3">
        <f t="shared" si="4"/>
        <v>75</v>
      </c>
      <c r="D22" s="2"/>
      <c r="E22" s="2"/>
      <c r="F22" s="2"/>
      <c r="G22" s="2"/>
      <c r="H22" s="2"/>
      <c r="I22" s="2"/>
      <c r="J22" s="2"/>
      <c r="K22" s="2"/>
      <c r="L22" s="2"/>
    </row>
    <row r="23">
      <c r="A23" s="3">
        <v>22.0</v>
      </c>
      <c r="B23" s="4">
        <f t="shared" si="1"/>
        <v>48.75</v>
      </c>
      <c r="C23" s="3">
        <f t="shared" si="4"/>
        <v>75</v>
      </c>
      <c r="D23" s="2"/>
      <c r="E23" s="2"/>
      <c r="F23" s="2"/>
      <c r="G23" s="2"/>
      <c r="H23" s="2"/>
      <c r="I23" s="2"/>
      <c r="J23" s="2"/>
      <c r="K23" s="2"/>
      <c r="L23" s="2"/>
    </row>
    <row r="24">
      <c r="A24" s="3">
        <v>23.0</v>
      </c>
      <c r="B24" s="4">
        <f t="shared" si="1"/>
        <v>41.78571429</v>
      </c>
      <c r="C24" s="3">
        <f t="shared" si="4"/>
        <v>75</v>
      </c>
      <c r="D24" s="2"/>
      <c r="E24" s="2"/>
      <c r="F24" s="2"/>
      <c r="G24" s="2"/>
      <c r="H24" s="2"/>
      <c r="I24" s="2"/>
      <c r="J24" s="2"/>
      <c r="K24" s="2"/>
      <c r="L24" s="2"/>
    </row>
    <row r="25">
      <c r="A25" s="3">
        <v>24.0</v>
      </c>
      <c r="B25" s="4">
        <f t="shared" si="1"/>
        <v>34.82142857</v>
      </c>
      <c r="C25" s="3">
        <f t="shared" si="4"/>
        <v>75</v>
      </c>
      <c r="D25" s="2"/>
      <c r="E25" s="2"/>
      <c r="F25" s="2"/>
      <c r="G25" s="2"/>
      <c r="H25" s="2"/>
      <c r="I25" s="2"/>
      <c r="J25" s="2"/>
      <c r="K25" s="2"/>
      <c r="L25" s="2"/>
    </row>
    <row r="26">
      <c r="A26" s="3">
        <v>25.0</v>
      </c>
      <c r="B26" s="4">
        <f t="shared" si="1"/>
        <v>27.85714286</v>
      </c>
      <c r="C26" s="3">
        <f t="shared" si="4"/>
        <v>75</v>
      </c>
      <c r="D26" s="2"/>
      <c r="E26" s="2"/>
      <c r="F26" s="2"/>
      <c r="G26" s="2"/>
      <c r="H26" s="2"/>
      <c r="I26" s="2"/>
      <c r="J26" s="2"/>
      <c r="K26" s="2"/>
      <c r="L26" s="2"/>
    </row>
    <row r="27">
      <c r="A27" s="3">
        <v>26.0</v>
      </c>
      <c r="B27" s="4">
        <f t="shared" si="1"/>
        <v>20.89285714</v>
      </c>
      <c r="C27" s="3">
        <f t="shared" si="4"/>
        <v>75</v>
      </c>
      <c r="D27" s="2"/>
      <c r="E27" s="2"/>
      <c r="F27" s="2"/>
      <c r="G27" s="2"/>
      <c r="H27" s="2"/>
      <c r="I27" s="2"/>
      <c r="J27" s="2"/>
      <c r="K27" s="2"/>
      <c r="L27" s="2"/>
    </row>
    <row r="28">
      <c r="A28" s="3">
        <v>27.0</v>
      </c>
      <c r="B28" s="4">
        <f t="shared" si="1"/>
        <v>13.92857143</v>
      </c>
      <c r="C28" s="3">
        <f t="shared" si="4"/>
        <v>75</v>
      </c>
      <c r="D28" s="2"/>
      <c r="E28" s="2"/>
      <c r="F28" s="2"/>
      <c r="G28" s="2"/>
      <c r="H28" s="2"/>
      <c r="I28" s="2"/>
      <c r="J28" s="2"/>
      <c r="K28" s="2"/>
      <c r="L28" s="2"/>
    </row>
    <row r="29">
      <c r="A29" s="3">
        <v>28.0</v>
      </c>
      <c r="B29" s="4">
        <f t="shared" si="1"/>
        <v>6.964285714</v>
      </c>
      <c r="C29" s="3">
        <f t="shared" si="4"/>
        <v>75</v>
      </c>
      <c r="D29" s="2"/>
      <c r="E29" s="2"/>
      <c r="F29" s="2"/>
      <c r="G29" s="2"/>
      <c r="H29" s="2"/>
      <c r="I29" s="2"/>
      <c r="J29" s="2"/>
      <c r="K29" s="2"/>
      <c r="L29" s="2"/>
    </row>
  </sheetData>
  <drawing r:id="rId1"/>
</worksheet>
</file>