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</sheets>
  <definedNames>
    <definedName hidden="1" localSheetId="0" name="_xlnm._FilterDatabase">'Product Backlog'!$A$1:$H$58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tc={22a33020-94ca-405d-b52d-f5563f0938a4}</author>
    <author>tc={32d35ea2-5a02-472b-9436-72eda681c8bd}</author>
  </authors>
  <commentList>
    <comment authorId="0" xr:uid="{22a33020-94ca-405d-b52d-f5563f0938a4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 los que no aplican y cambiar redaccion
</t>
      </text>
    </comment>
    <comment authorId="1" xr:uid="{32d35ea2-5a02-472b-9436-72eda681c8b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 los que no aplican y cambiar redaccion
</t>
      </text>
    </comment>
  </commentList>
</comments>
</file>

<file path=xl/sharedStrings.xml><?xml version="1.0" encoding="utf-8"?>
<sst xmlns="http://schemas.openxmlformats.org/spreadsheetml/2006/main" count="296" uniqueCount="132">
  <si>
    <t>ID</t>
  </si>
  <si>
    <t>Tarea</t>
  </si>
  <si>
    <t>Sprint</t>
  </si>
  <si>
    <t>ID Historia</t>
  </si>
  <si>
    <t>Entregable</t>
  </si>
  <si>
    <t>Prioridad</t>
  </si>
  <si>
    <t>Estado</t>
  </si>
  <si>
    <t>Pts</t>
  </si>
  <si>
    <t>Toma de requerimientos iniciales</t>
  </si>
  <si>
    <t>Sprint 0</t>
  </si>
  <si>
    <t>-</t>
  </si>
  <si>
    <t>Definicion alcances</t>
  </si>
  <si>
    <t>Alta</t>
  </si>
  <si>
    <t>Finalizado</t>
  </si>
  <si>
    <t>Investigación de tecnologias (Frontend, Backend, BD)</t>
  </si>
  <si>
    <t>Seleccion de tecnologias (arquitectura, hosting, etc)</t>
  </si>
  <si>
    <t>Configuración de repositorio</t>
  </si>
  <si>
    <t>Repositorio base inicializado</t>
  </si>
  <si>
    <t>Definición inicial de historias de usuario y criterios</t>
  </si>
  <si>
    <t>Documentacion general</t>
  </si>
  <si>
    <t>Media</t>
  </si>
  <si>
    <t>Configuración de entorno de desarrollo</t>
  </si>
  <si>
    <t>Espacio de trabajo configurado</t>
  </si>
  <si>
    <t>Diseño preliminar de arquitectura</t>
  </si>
  <si>
    <t>Documento de diseño base</t>
  </si>
  <si>
    <t>Validación inicial de requerimientos con el cliente</t>
  </si>
  <si>
    <t>Documento reunion cliente</t>
  </si>
  <si>
    <t>Planificación de hitos y distribución de sprints</t>
  </si>
  <si>
    <t>Cronograma del proyecto (Carta Gantt)</t>
  </si>
  <si>
    <t>Diseño del esquema relacional de la base de datos</t>
  </si>
  <si>
    <t>Sprint 1</t>
  </si>
  <si>
    <t>Modelo Base de Datos</t>
  </si>
  <si>
    <t>Configuración de conexión con la BD</t>
  </si>
  <si>
    <t>Conexión a base de datos operativa</t>
  </si>
  <si>
    <t>Implementación de autenticación por roles (Jefa, Operaria, Cortadora)</t>
  </si>
  <si>
    <t>H-19</t>
  </si>
  <si>
    <t>Módulo de control de accesos</t>
  </si>
  <si>
    <t>Configuración recuperacion de login con correo</t>
  </si>
  <si>
    <t>Servicio de recuperación integrado</t>
  </si>
  <si>
    <t>Conexion con backend para registro de pedidos</t>
  </si>
  <si>
    <t>H-5</t>
  </si>
  <si>
    <t>Backend de creación de pedidos</t>
  </si>
  <si>
    <t>Desarrollo del frontend de registro de pedidos</t>
  </si>
  <si>
    <t>Vista de formulario de pedidos</t>
  </si>
  <si>
    <t>Desarrollo de la vista de listado y detalle de pedidos</t>
  </si>
  <si>
    <t>H-6, H-7</t>
  </si>
  <si>
    <t>Vista de consulta de pedidos</t>
  </si>
  <si>
    <t>Desarrollo de gestión de tipos de prendas</t>
  </si>
  <si>
    <t>H-9</t>
  </si>
  <si>
    <t>Vista Catálogo de prendas y atributos</t>
  </si>
  <si>
    <t>Implementación de estados generales del pedido</t>
  </si>
  <si>
    <t>H-4, H-8</t>
  </si>
  <si>
    <t>Lógica de estados (pendiente, en proceso, entregado)</t>
  </si>
  <si>
    <t>Pruebas unitarias e integración de los módulos del Sprint 1</t>
  </si>
  <si>
    <t>Validacion pruebas Sprint 1</t>
  </si>
  <si>
    <t>Reunión de avance y validación con el cliente (Sprint 1)</t>
  </si>
  <si>
    <t>Validación de Sprint 1</t>
  </si>
  <si>
    <t>Desarrollo de sección pública de precios</t>
  </si>
  <si>
    <t>H-13, H-17</t>
  </si>
  <si>
    <t>Módulo de precios en landing</t>
  </si>
  <si>
    <t>Integración de enlaces directos a redes sociales y WhatsApp</t>
  </si>
  <si>
    <t>H-14, H-15</t>
  </si>
  <si>
    <t>Botones de contacto flotantes y redes</t>
  </si>
  <si>
    <t>Vista galería visual de trabajos anteriores (carrusel)</t>
  </si>
  <si>
    <t>H-16</t>
  </si>
  <si>
    <t>Carrusel con fotos de prendas</t>
  </si>
  <si>
    <t>Creación de sección de Preguntas Frecuentes (FAQ)</t>
  </si>
  <si>
    <t>H-17</t>
  </si>
  <si>
    <t>FAQ informativo</t>
  </si>
  <si>
    <t>Baja</t>
  </si>
  <si>
    <t>Desarrollo vista Landing Page</t>
  </si>
  <si>
    <t>Vista Usuarios y Cliente</t>
  </si>
  <si>
    <t>Desarrollo vista de gestión de clientes</t>
  </si>
  <si>
    <t>Sprint 2</t>
  </si>
  <si>
    <t>H-18</t>
  </si>
  <si>
    <t>Vista de administración de clientes</t>
  </si>
  <si>
    <t>Desarrollo logica de gestión de clientes</t>
  </si>
  <si>
    <t>Backend de administración de clientes</t>
  </si>
  <si>
    <t>Desarrollo de vista de clientes y ordenamiento por frecuencia</t>
  </si>
  <si>
    <t>Interfaz de listado de clientes</t>
  </si>
  <si>
    <t>Desarrollo vista control de tareas en el taller</t>
  </si>
  <si>
    <t>H-2</t>
  </si>
  <si>
    <t>Vista de asignación de tareas</t>
  </si>
  <si>
    <t>Desarrollo logica control de tareas en el taller</t>
  </si>
  <si>
    <t>Backend de asignación de tareas</t>
  </si>
  <si>
    <t>Desarrollo frontend de tareas y cambio de estados</t>
  </si>
  <si>
    <t>Interfaz de control de taller</t>
  </si>
  <si>
    <t>Desarrollo backend funcionalidad registro pedidos</t>
  </si>
  <si>
    <t>H-3</t>
  </si>
  <si>
    <t>Campo de notas detalladas por tarea</t>
  </si>
  <si>
    <t>Desarrollo de registro y asignación de labores por trabajador</t>
  </si>
  <si>
    <t>H-10</t>
  </si>
  <si>
    <t>Módulo de asignación de mano de obra</t>
  </si>
  <si>
    <t>En Progreso</t>
  </si>
  <si>
    <t>Asignación de tareas por trabajador (visualización de los pedidos asignados)</t>
  </si>
  <si>
    <t>H-11, H-12</t>
  </si>
  <si>
    <t>Interfaz de estado de tareas individual</t>
  </si>
  <si>
    <t>Implementación de trazabilidad de operario por prenda</t>
  </si>
  <si>
    <t>Registro de pieza confeccionada</t>
  </si>
  <si>
    <t>Implementación de trazabilidad de cortadora por prenda</t>
  </si>
  <si>
    <t>Vista de confirmación de corte de tela</t>
  </si>
  <si>
    <t>Pruebas de integración del Sprint 2</t>
  </si>
  <si>
    <t>Validacion pruebas Sprint 2</t>
  </si>
  <si>
    <t>Sin Empezar</t>
  </si>
  <si>
    <t>Reunión de avance y validación con el cliente (Sprint 2)</t>
  </si>
  <si>
    <t>Validación de Sprint 2</t>
  </si>
  <si>
    <t>Integración de mapa interactivo</t>
  </si>
  <si>
    <t>Mapa de la dirección del taller en la landing page</t>
  </si>
  <si>
    <t>Integración con API de Google Calendar para fechas límite</t>
  </si>
  <si>
    <t>Sprint 3</t>
  </si>
  <si>
    <t>H-1</t>
  </si>
  <si>
    <t>Logica integracion con Google Calendar</t>
  </si>
  <si>
    <t>Desarrollo integracion backend del Dashboard</t>
  </si>
  <si>
    <t>H-21</t>
  </si>
  <si>
    <t>Actualización automática de métricas</t>
  </si>
  <si>
    <t>Desarrollo de gráficos para el Dashboard</t>
  </si>
  <si>
    <t>Dashboard visual de volumen de trabajo</t>
  </si>
  <si>
    <t>Desarrollo consultas integracion con IA</t>
  </si>
  <si>
    <t>IA que desarrolla reportes</t>
  </si>
  <si>
    <t>Pruebas de integración del Sprint 3</t>
  </si>
  <si>
    <t>Validacion pruebas Sprint 3</t>
  </si>
  <si>
    <t>Reunión de cierre y validación final con el cliente (Sprint 3)</t>
  </si>
  <si>
    <t>Aceptación del sistema</t>
  </si>
  <si>
    <t>Pruebas End-to-End completas del sistema</t>
  </si>
  <si>
    <t>Sprint 4</t>
  </si>
  <si>
    <t>Reporte de pruebas E2E</t>
  </si>
  <si>
    <t>Configuración de servidor, hosting y despliegue final</t>
  </si>
  <si>
    <t>Sistema en producción</t>
  </si>
  <si>
    <t>Redacción y entrega de documentación técnica y manuales</t>
  </si>
  <si>
    <t>Manuales de usuario y técnicos</t>
  </si>
  <si>
    <t>Reunión de entrega final del proyecto</t>
  </si>
  <si>
    <t>Acta de recepción conforme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</si>
</sst>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MOLENKS JOHAN ARAVENA CARVAJAL" id="{fbfe4390-fc9b-46e4-aabe-2d249994f86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9-13T21:27:38.00" personId="{fbfe4390-fc9b-46e4-aabe-2d249994f862}" id="{32d35ea2-5a02-472b-9436-72eda681c8bd}" done="1">
    <x18tc:text xml:space="preserve">eliminar los que no aplican y cambiar redaccion</x18tc:text>
  </x18tc:threadedComment>
  <x18tc:threadedComment ref="E1" dT="2026-09-13T21:27:43.00" personId="{fbfe4390-fc9b-46e4-aabe-2d249994f862}" id="{22a33020-94ca-405d-b52d-f5563f0938a4}" done="1">
    <x18tc:text xml:space="preserve">eliminar los que no aplican y cambiar redaccion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53.0"/>
    <col customWidth="1" min="3" max="3" width="9.25"/>
    <col customWidth="1" min="4" max="4" width="11.88"/>
    <col customWidth="1" min="5" max="5" width="41.25"/>
    <col customWidth="1" min="6" max="6" width="10.88"/>
    <col customWidth="1" min="7" max="7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tr">
        <f t="shared" ref="A2:A58" si="1">"P-" &amp; ROW()-1</f>
        <v>P-1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f t="shared" ref="H2:H58" si="2">IF(F2="Alta", 15, IF(F2="Media", 10, IF(F2="Baja", 5, "")))</f>
        <v>15</v>
      </c>
    </row>
    <row r="3">
      <c r="A3" s="2" t="str">
        <f t="shared" si="1"/>
        <v>P-2</v>
      </c>
      <c r="B3" s="3" t="s">
        <v>14</v>
      </c>
      <c r="C3" s="3" t="s">
        <v>9</v>
      </c>
      <c r="D3" s="3" t="s">
        <v>10</v>
      </c>
      <c r="E3" s="3" t="s">
        <v>15</v>
      </c>
      <c r="F3" s="3" t="s">
        <v>12</v>
      </c>
      <c r="G3" s="3" t="s">
        <v>13</v>
      </c>
      <c r="H3" s="3">
        <f t="shared" si="2"/>
        <v>15</v>
      </c>
    </row>
    <row r="4">
      <c r="A4" s="2" t="str">
        <f t="shared" si="1"/>
        <v>P-3</v>
      </c>
      <c r="B4" s="3" t="s">
        <v>16</v>
      </c>
      <c r="C4" s="3" t="s">
        <v>9</v>
      </c>
      <c r="D4" s="3" t="s">
        <v>10</v>
      </c>
      <c r="E4" s="3" t="s">
        <v>17</v>
      </c>
      <c r="F4" s="3" t="s">
        <v>12</v>
      </c>
      <c r="G4" s="3" t="s">
        <v>13</v>
      </c>
      <c r="H4" s="3">
        <f t="shared" si="2"/>
        <v>15</v>
      </c>
    </row>
    <row r="5">
      <c r="A5" s="2" t="str">
        <f t="shared" si="1"/>
        <v>P-4</v>
      </c>
      <c r="B5" s="3" t="s">
        <v>18</v>
      </c>
      <c r="C5" s="3" t="s">
        <v>9</v>
      </c>
      <c r="D5" s="3" t="s">
        <v>10</v>
      </c>
      <c r="E5" s="3" t="s">
        <v>19</v>
      </c>
      <c r="F5" s="3" t="s">
        <v>20</v>
      </c>
      <c r="G5" s="3" t="s">
        <v>13</v>
      </c>
      <c r="H5" s="3">
        <f t="shared" si="2"/>
        <v>10</v>
      </c>
    </row>
    <row r="6">
      <c r="A6" s="2" t="str">
        <f t="shared" si="1"/>
        <v>P-5</v>
      </c>
      <c r="B6" s="3" t="s">
        <v>21</v>
      </c>
      <c r="C6" s="3" t="s">
        <v>9</v>
      </c>
      <c r="D6" s="3" t="s">
        <v>10</v>
      </c>
      <c r="E6" s="3" t="s">
        <v>22</v>
      </c>
      <c r="F6" s="3" t="s">
        <v>20</v>
      </c>
      <c r="G6" s="3" t="s">
        <v>13</v>
      </c>
      <c r="H6" s="3">
        <f t="shared" si="2"/>
        <v>10</v>
      </c>
    </row>
    <row r="7">
      <c r="A7" s="2" t="str">
        <f t="shared" si="1"/>
        <v>P-6</v>
      </c>
      <c r="B7" s="3" t="s">
        <v>23</v>
      </c>
      <c r="C7" s="3" t="s">
        <v>9</v>
      </c>
      <c r="D7" s="3" t="s">
        <v>10</v>
      </c>
      <c r="E7" s="3" t="s">
        <v>24</v>
      </c>
      <c r="F7" s="3" t="s">
        <v>20</v>
      </c>
      <c r="G7" s="3" t="s">
        <v>13</v>
      </c>
      <c r="H7" s="3">
        <f t="shared" si="2"/>
        <v>10</v>
      </c>
    </row>
    <row r="8">
      <c r="A8" s="2" t="str">
        <f t="shared" si="1"/>
        <v>P-7</v>
      </c>
      <c r="B8" s="3" t="s">
        <v>25</v>
      </c>
      <c r="C8" s="3" t="s">
        <v>9</v>
      </c>
      <c r="D8" s="3" t="s">
        <v>10</v>
      </c>
      <c r="E8" s="3" t="s">
        <v>26</v>
      </c>
      <c r="F8" s="3" t="s">
        <v>12</v>
      </c>
      <c r="G8" s="3" t="s">
        <v>13</v>
      </c>
      <c r="H8" s="3">
        <f t="shared" si="2"/>
        <v>15</v>
      </c>
    </row>
    <row r="9">
      <c r="A9" s="2" t="str">
        <f t="shared" si="1"/>
        <v>P-8</v>
      </c>
      <c r="B9" s="3" t="s">
        <v>27</v>
      </c>
      <c r="C9" s="3" t="s">
        <v>9</v>
      </c>
      <c r="D9" s="3" t="s">
        <v>10</v>
      </c>
      <c r="E9" s="3" t="s">
        <v>28</v>
      </c>
      <c r="F9" s="3" t="s">
        <v>12</v>
      </c>
      <c r="G9" s="3" t="s">
        <v>13</v>
      </c>
      <c r="H9" s="3">
        <f t="shared" si="2"/>
        <v>15</v>
      </c>
    </row>
    <row r="10">
      <c r="A10" s="2" t="str">
        <f t="shared" si="1"/>
        <v>P-9</v>
      </c>
      <c r="B10" s="3" t="s">
        <v>29</v>
      </c>
      <c r="C10" s="3" t="s">
        <v>30</v>
      </c>
      <c r="D10" s="3" t="s">
        <v>10</v>
      </c>
      <c r="E10" s="3" t="s">
        <v>31</v>
      </c>
      <c r="F10" s="3" t="s">
        <v>12</v>
      </c>
      <c r="G10" s="3" t="s">
        <v>13</v>
      </c>
      <c r="H10" s="3">
        <f t="shared" si="2"/>
        <v>15</v>
      </c>
    </row>
    <row r="11">
      <c r="A11" s="2" t="str">
        <f t="shared" si="1"/>
        <v>P-10</v>
      </c>
      <c r="B11" s="3" t="s">
        <v>32</v>
      </c>
      <c r="C11" s="3" t="s">
        <v>30</v>
      </c>
      <c r="D11" s="3" t="s">
        <v>10</v>
      </c>
      <c r="E11" s="3" t="s">
        <v>33</v>
      </c>
      <c r="F11" s="3" t="s">
        <v>12</v>
      </c>
      <c r="G11" s="3" t="s">
        <v>13</v>
      </c>
      <c r="H11" s="3">
        <f t="shared" si="2"/>
        <v>15</v>
      </c>
    </row>
    <row r="12">
      <c r="A12" s="2" t="str">
        <f t="shared" si="1"/>
        <v>P-11</v>
      </c>
      <c r="B12" s="3" t="s">
        <v>34</v>
      </c>
      <c r="C12" s="3" t="s">
        <v>30</v>
      </c>
      <c r="D12" s="3" t="s">
        <v>35</v>
      </c>
      <c r="E12" s="3" t="s">
        <v>36</v>
      </c>
      <c r="F12" s="3" t="s">
        <v>12</v>
      </c>
      <c r="G12" s="3" t="s">
        <v>13</v>
      </c>
      <c r="H12" s="3">
        <f t="shared" si="2"/>
        <v>15</v>
      </c>
    </row>
    <row r="13">
      <c r="A13" s="2" t="str">
        <f t="shared" si="1"/>
        <v>P-12</v>
      </c>
      <c r="B13" s="3" t="s">
        <v>37</v>
      </c>
      <c r="C13" s="3" t="s">
        <v>30</v>
      </c>
      <c r="D13" s="3" t="s">
        <v>10</v>
      </c>
      <c r="E13" s="3" t="s">
        <v>38</v>
      </c>
      <c r="F13" s="3" t="s">
        <v>20</v>
      </c>
      <c r="G13" s="3" t="s">
        <v>13</v>
      </c>
      <c r="H13" s="3">
        <f t="shared" si="2"/>
        <v>10</v>
      </c>
    </row>
    <row r="14">
      <c r="A14" s="2" t="str">
        <f t="shared" si="1"/>
        <v>P-13</v>
      </c>
      <c r="B14" s="3" t="s">
        <v>39</v>
      </c>
      <c r="C14" s="3" t="s">
        <v>30</v>
      </c>
      <c r="D14" s="3" t="s">
        <v>40</v>
      </c>
      <c r="E14" s="3" t="s">
        <v>41</v>
      </c>
      <c r="F14" s="3" t="s">
        <v>12</v>
      </c>
      <c r="G14" s="3" t="s">
        <v>13</v>
      </c>
      <c r="H14" s="3">
        <f t="shared" si="2"/>
        <v>15</v>
      </c>
    </row>
    <row r="15">
      <c r="A15" s="2" t="str">
        <f t="shared" si="1"/>
        <v>P-14</v>
      </c>
      <c r="B15" s="3" t="s">
        <v>42</v>
      </c>
      <c r="C15" s="3" t="s">
        <v>30</v>
      </c>
      <c r="D15" s="3" t="s">
        <v>40</v>
      </c>
      <c r="E15" s="3" t="s">
        <v>43</v>
      </c>
      <c r="F15" s="3" t="s">
        <v>12</v>
      </c>
      <c r="G15" s="3" t="s">
        <v>13</v>
      </c>
      <c r="H15" s="3">
        <f t="shared" si="2"/>
        <v>15</v>
      </c>
    </row>
    <row r="16">
      <c r="A16" s="2" t="str">
        <f t="shared" si="1"/>
        <v>P-15</v>
      </c>
      <c r="B16" s="3" t="s">
        <v>44</v>
      </c>
      <c r="C16" s="3" t="s">
        <v>30</v>
      </c>
      <c r="D16" s="3" t="s">
        <v>45</v>
      </c>
      <c r="E16" s="3" t="s">
        <v>46</v>
      </c>
      <c r="F16" s="3" t="s">
        <v>12</v>
      </c>
      <c r="G16" s="3" t="s">
        <v>13</v>
      </c>
      <c r="H16" s="3">
        <f t="shared" si="2"/>
        <v>15</v>
      </c>
    </row>
    <row r="17">
      <c r="A17" s="2" t="str">
        <f t="shared" si="1"/>
        <v>P-16</v>
      </c>
      <c r="B17" s="3" t="s">
        <v>47</v>
      </c>
      <c r="C17" s="3" t="s">
        <v>30</v>
      </c>
      <c r="D17" s="3" t="s">
        <v>48</v>
      </c>
      <c r="E17" s="3" t="s">
        <v>49</v>
      </c>
      <c r="F17" s="3" t="s">
        <v>20</v>
      </c>
      <c r="G17" s="3" t="s">
        <v>13</v>
      </c>
      <c r="H17" s="3">
        <f t="shared" si="2"/>
        <v>10</v>
      </c>
    </row>
    <row r="18">
      <c r="A18" s="2" t="str">
        <f t="shared" si="1"/>
        <v>P-17</v>
      </c>
      <c r="B18" s="3" t="s">
        <v>50</v>
      </c>
      <c r="C18" s="3" t="s">
        <v>30</v>
      </c>
      <c r="D18" s="3" t="s">
        <v>51</v>
      </c>
      <c r="E18" s="3" t="s">
        <v>52</v>
      </c>
      <c r="F18" s="3" t="s">
        <v>12</v>
      </c>
      <c r="G18" s="3" t="s">
        <v>13</v>
      </c>
      <c r="H18" s="3">
        <f t="shared" si="2"/>
        <v>15</v>
      </c>
    </row>
    <row r="19">
      <c r="A19" s="2" t="str">
        <f t="shared" si="1"/>
        <v>P-18</v>
      </c>
      <c r="B19" s="3" t="s">
        <v>53</v>
      </c>
      <c r="C19" s="3" t="s">
        <v>30</v>
      </c>
      <c r="D19" s="3" t="s">
        <v>10</v>
      </c>
      <c r="E19" s="3" t="s">
        <v>54</v>
      </c>
      <c r="F19" s="3" t="s">
        <v>12</v>
      </c>
      <c r="G19" s="3" t="s">
        <v>13</v>
      </c>
      <c r="H19" s="3">
        <f t="shared" si="2"/>
        <v>15</v>
      </c>
    </row>
    <row r="20">
      <c r="A20" s="2" t="str">
        <f t="shared" si="1"/>
        <v>P-19</v>
      </c>
      <c r="B20" s="3" t="s">
        <v>55</v>
      </c>
      <c r="C20" s="3" t="s">
        <v>30</v>
      </c>
      <c r="D20" s="3" t="s">
        <v>10</v>
      </c>
      <c r="E20" s="3" t="s">
        <v>56</v>
      </c>
      <c r="F20" s="3" t="s">
        <v>12</v>
      </c>
      <c r="G20" s="3" t="s">
        <v>13</v>
      </c>
      <c r="H20" s="3">
        <f t="shared" si="2"/>
        <v>15</v>
      </c>
    </row>
    <row r="21">
      <c r="A21" s="2" t="str">
        <f t="shared" si="1"/>
        <v>P-20</v>
      </c>
      <c r="B21" s="3" t="s">
        <v>57</v>
      </c>
      <c r="C21" s="3" t="s">
        <v>30</v>
      </c>
      <c r="D21" s="3" t="s">
        <v>58</v>
      </c>
      <c r="E21" s="3" t="s">
        <v>59</v>
      </c>
      <c r="F21" s="3" t="s">
        <v>12</v>
      </c>
      <c r="G21" s="3" t="s">
        <v>13</v>
      </c>
      <c r="H21" s="3">
        <f t="shared" si="2"/>
        <v>15</v>
      </c>
    </row>
    <row r="22">
      <c r="A22" s="2" t="str">
        <f t="shared" si="1"/>
        <v>P-21</v>
      </c>
      <c r="B22" s="3" t="s">
        <v>60</v>
      </c>
      <c r="C22" s="3" t="s">
        <v>30</v>
      </c>
      <c r="D22" s="3" t="s">
        <v>61</v>
      </c>
      <c r="E22" s="3" t="s">
        <v>62</v>
      </c>
      <c r="F22" s="3" t="s">
        <v>12</v>
      </c>
      <c r="G22" s="3" t="s">
        <v>13</v>
      </c>
      <c r="H22" s="3">
        <f t="shared" si="2"/>
        <v>15</v>
      </c>
    </row>
    <row r="23">
      <c r="A23" s="2" t="str">
        <f t="shared" si="1"/>
        <v>P-22</v>
      </c>
      <c r="B23" s="3" t="s">
        <v>63</v>
      </c>
      <c r="C23" s="3" t="s">
        <v>30</v>
      </c>
      <c r="D23" s="3" t="s">
        <v>64</v>
      </c>
      <c r="E23" s="3" t="s">
        <v>65</v>
      </c>
      <c r="F23" s="3" t="s">
        <v>20</v>
      </c>
      <c r="G23" s="3" t="s">
        <v>13</v>
      </c>
      <c r="H23" s="3">
        <f t="shared" si="2"/>
        <v>10</v>
      </c>
    </row>
    <row r="24">
      <c r="A24" s="2" t="str">
        <f t="shared" si="1"/>
        <v>P-23</v>
      </c>
      <c r="B24" s="3" t="s">
        <v>66</v>
      </c>
      <c r="C24" s="3" t="s">
        <v>30</v>
      </c>
      <c r="D24" s="3" t="s">
        <v>67</v>
      </c>
      <c r="E24" s="3" t="s">
        <v>68</v>
      </c>
      <c r="F24" s="3" t="s">
        <v>69</v>
      </c>
      <c r="G24" s="3" t="s">
        <v>13</v>
      </c>
      <c r="H24" s="3">
        <f t="shared" si="2"/>
        <v>5</v>
      </c>
    </row>
    <row r="25">
      <c r="A25" s="2" t="str">
        <f t="shared" si="1"/>
        <v>P-24</v>
      </c>
      <c r="B25" s="3" t="s">
        <v>70</v>
      </c>
      <c r="C25" s="3" t="s">
        <v>30</v>
      </c>
      <c r="D25" s="3" t="s">
        <v>10</v>
      </c>
      <c r="E25" s="3" t="s">
        <v>71</v>
      </c>
      <c r="F25" s="3" t="s">
        <v>20</v>
      </c>
      <c r="G25" s="3" t="s">
        <v>13</v>
      </c>
      <c r="H25" s="3">
        <f t="shared" si="2"/>
        <v>10</v>
      </c>
    </row>
    <row r="26">
      <c r="A26" s="2" t="str">
        <f t="shared" si="1"/>
        <v>P-25</v>
      </c>
      <c r="B26" s="3" t="s">
        <v>72</v>
      </c>
      <c r="C26" s="3" t="s">
        <v>73</v>
      </c>
      <c r="D26" s="3" t="s">
        <v>74</v>
      </c>
      <c r="E26" s="3" t="s">
        <v>75</v>
      </c>
      <c r="F26" s="3" t="s">
        <v>12</v>
      </c>
      <c r="G26" s="3" t="s">
        <v>13</v>
      </c>
      <c r="H26" s="3">
        <f t="shared" si="2"/>
        <v>15</v>
      </c>
    </row>
    <row r="27">
      <c r="A27" s="2" t="str">
        <f t="shared" si="1"/>
        <v>P-26</v>
      </c>
      <c r="B27" s="3" t="s">
        <v>76</v>
      </c>
      <c r="C27" s="3" t="s">
        <v>73</v>
      </c>
      <c r="D27" s="3" t="s">
        <v>74</v>
      </c>
      <c r="E27" s="3" t="s">
        <v>77</v>
      </c>
      <c r="F27" s="3" t="s">
        <v>12</v>
      </c>
      <c r="G27" s="3" t="s">
        <v>13</v>
      </c>
      <c r="H27" s="3">
        <f t="shared" si="2"/>
        <v>15</v>
      </c>
    </row>
    <row r="28">
      <c r="A28" s="2" t="str">
        <f t="shared" si="1"/>
        <v>P-27</v>
      </c>
      <c r="B28" s="3" t="s">
        <v>78</v>
      </c>
      <c r="C28" s="3" t="s">
        <v>73</v>
      </c>
      <c r="D28" s="3" t="s">
        <v>74</v>
      </c>
      <c r="E28" s="3" t="s">
        <v>79</v>
      </c>
      <c r="F28" s="3" t="s">
        <v>12</v>
      </c>
      <c r="G28" s="3" t="s">
        <v>13</v>
      </c>
      <c r="H28" s="3">
        <f t="shared" si="2"/>
        <v>15</v>
      </c>
    </row>
    <row r="29">
      <c r="A29" s="2" t="str">
        <f t="shared" si="1"/>
        <v>P-28</v>
      </c>
      <c r="B29" s="3" t="s">
        <v>80</v>
      </c>
      <c r="C29" s="3" t="s">
        <v>73</v>
      </c>
      <c r="D29" s="3" t="s">
        <v>81</v>
      </c>
      <c r="E29" s="3" t="s">
        <v>82</v>
      </c>
      <c r="F29" s="3" t="s">
        <v>12</v>
      </c>
      <c r="G29" s="3" t="s">
        <v>13</v>
      </c>
      <c r="H29" s="3">
        <f t="shared" si="2"/>
        <v>15</v>
      </c>
    </row>
    <row r="30">
      <c r="A30" s="2" t="str">
        <f t="shared" si="1"/>
        <v>P-29</v>
      </c>
      <c r="B30" s="3" t="s">
        <v>83</v>
      </c>
      <c r="C30" s="3" t="s">
        <v>73</v>
      </c>
      <c r="D30" s="3" t="s">
        <v>81</v>
      </c>
      <c r="E30" s="3" t="s">
        <v>84</v>
      </c>
      <c r="F30" s="3" t="s">
        <v>12</v>
      </c>
      <c r="G30" s="3" t="s">
        <v>13</v>
      </c>
      <c r="H30" s="3">
        <f t="shared" si="2"/>
        <v>15</v>
      </c>
    </row>
    <row r="31">
      <c r="A31" s="2" t="str">
        <f t="shared" si="1"/>
        <v>P-30</v>
      </c>
      <c r="B31" s="3" t="s">
        <v>85</v>
      </c>
      <c r="C31" s="3" t="s">
        <v>73</v>
      </c>
      <c r="D31" s="3" t="s">
        <v>81</v>
      </c>
      <c r="E31" s="3" t="s">
        <v>86</v>
      </c>
      <c r="F31" s="3" t="s">
        <v>12</v>
      </c>
      <c r="G31" s="3" t="s">
        <v>13</v>
      </c>
      <c r="H31" s="3">
        <f t="shared" si="2"/>
        <v>15</v>
      </c>
    </row>
    <row r="32">
      <c r="A32" s="2" t="str">
        <f t="shared" si="1"/>
        <v>P-31</v>
      </c>
      <c r="B32" s="3" t="s">
        <v>87</v>
      </c>
      <c r="C32" s="3" t="s">
        <v>73</v>
      </c>
      <c r="D32" s="3" t="s">
        <v>88</v>
      </c>
      <c r="E32" s="3" t="s">
        <v>89</v>
      </c>
      <c r="F32" s="3" t="s">
        <v>20</v>
      </c>
      <c r="G32" s="3" t="s">
        <v>13</v>
      </c>
      <c r="H32" s="3">
        <f t="shared" si="2"/>
        <v>10</v>
      </c>
    </row>
    <row r="33">
      <c r="A33" s="2" t="str">
        <f t="shared" si="1"/>
        <v>P-32</v>
      </c>
      <c r="B33" s="3" t="s">
        <v>90</v>
      </c>
      <c r="C33" s="3" t="s">
        <v>73</v>
      </c>
      <c r="D33" s="3" t="s">
        <v>91</v>
      </c>
      <c r="E33" s="3" t="s">
        <v>92</v>
      </c>
      <c r="F33" s="3" t="s">
        <v>12</v>
      </c>
      <c r="G33" s="3" t="s">
        <v>93</v>
      </c>
      <c r="H33" s="3">
        <f t="shared" si="2"/>
        <v>15</v>
      </c>
    </row>
    <row r="34">
      <c r="A34" s="2" t="str">
        <f t="shared" si="1"/>
        <v>P-33</v>
      </c>
      <c r="B34" s="3" t="s">
        <v>94</v>
      </c>
      <c r="C34" s="3" t="s">
        <v>73</v>
      </c>
      <c r="D34" s="3" t="s">
        <v>95</v>
      </c>
      <c r="E34" s="3" t="s">
        <v>96</v>
      </c>
      <c r="F34" s="3" t="s">
        <v>20</v>
      </c>
      <c r="G34" s="3" t="s">
        <v>13</v>
      </c>
      <c r="H34" s="3">
        <f t="shared" si="2"/>
        <v>10</v>
      </c>
    </row>
    <row r="35">
      <c r="A35" s="2" t="str">
        <f t="shared" si="1"/>
        <v>P-34</v>
      </c>
      <c r="B35" s="3" t="s">
        <v>97</v>
      </c>
      <c r="C35" s="3" t="s">
        <v>73</v>
      </c>
      <c r="D35" s="3" t="s">
        <v>10</v>
      </c>
      <c r="E35" s="3" t="s">
        <v>98</v>
      </c>
      <c r="F35" s="3" t="s">
        <v>12</v>
      </c>
      <c r="G35" s="3" t="s">
        <v>93</v>
      </c>
      <c r="H35" s="3">
        <f t="shared" si="2"/>
        <v>15</v>
      </c>
    </row>
    <row r="36">
      <c r="A36" s="2" t="str">
        <f t="shared" si="1"/>
        <v>P-35</v>
      </c>
      <c r="B36" s="3" t="s">
        <v>99</v>
      </c>
      <c r="C36" s="3" t="s">
        <v>73</v>
      </c>
      <c r="D36" s="3" t="s">
        <v>10</v>
      </c>
      <c r="E36" s="3" t="s">
        <v>100</v>
      </c>
      <c r="F36" s="3" t="s">
        <v>12</v>
      </c>
      <c r="G36" s="3" t="s">
        <v>93</v>
      </c>
      <c r="H36" s="3">
        <f t="shared" si="2"/>
        <v>15</v>
      </c>
    </row>
    <row r="37">
      <c r="A37" s="2" t="str">
        <f t="shared" si="1"/>
        <v>P-36</v>
      </c>
      <c r="B37" s="3" t="s">
        <v>101</v>
      </c>
      <c r="C37" s="3" t="s">
        <v>73</v>
      </c>
      <c r="D37" s="3" t="s">
        <v>10</v>
      </c>
      <c r="E37" s="3" t="s">
        <v>102</v>
      </c>
      <c r="F37" s="3" t="s">
        <v>12</v>
      </c>
      <c r="G37" s="3" t="s">
        <v>103</v>
      </c>
      <c r="H37" s="3">
        <f t="shared" si="2"/>
        <v>15</v>
      </c>
    </row>
    <row r="38">
      <c r="A38" s="2" t="str">
        <f t="shared" si="1"/>
        <v>P-37</v>
      </c>
      <c r="B38" s="3" t="s">
        <v>104</v>
      </c>
      <c r="C38" s="3" t="s">
        <v>73</v>
      </c>
      <c r="D38" s="3" t="s">
        <v>10</v>
      </c>
      <c r="E38" s="3" t="s">
        <v>105</v>
      </c>
      <c r="F38" s="3" t="s">
        <v>12</v>
      </c>
      <c r="G38" s="3" t="s">
        <v>103</v>
      </c>
      <c r="H38" s="3">
        <f t="shared" si="2"/>
        <v>15</v>
      </c>
    </row>
    <row r="39">
      <c r="A39" s="2" t="str">
        <f t="shared" si="1"/>
        <v>P-38</v>
      </c>
      <c r="B39" s="3" t="s">
        <v>106</v>
      </c>
      <c r="C39" s="3" t="s">
        <v>73</v>
      </c>
      <c r="D39" s="3" t="s">
        <v>10</v>
      </c>
      <c r="E39" s="3" t="s">
        <v>107</v>
      </c>
      <c r="F39" s="3" t="s">
        <v>20</v>
      </c>
      <c r="G39" s="3" t="s">
        <v>13</v>
      </c>
      <c r="H39" s="3">
        <f t="shared" si="2"/>
        <v>10</v>
      </c>
    </row>
    <row r="40">
      <c r="A40" s="2" t="str">
        <f t="shared" si="1"/>
        <v>P-39</v>
      </c>
      <c r="B40" s="3" t="s">
        <v>108</v>
      </c>
      <c r="C40" s="3" t="s">
        <v>109</v>
      </c>
      <c r="D40" s="3" t="s">
        <v>110</v>
      </c>
      <c r="E40" s="3" t="s">
        <v>111</v>
      </c>
      <c r="F40" s="3" t="s">
        <v>20</v>
      </c>
      <c r="G40" s="3" t="s">
        <v>103</v>
      </c>
      <c r="H40" s="3">
        <f t="shared" si="2"/>
        <v>10</v>
      </c>
    </row>
    <row r="41">
      <c r="A41" s="2" t="str">
        <f t="shared" si="1"/>
        <v>P-40</v>
      </c>
      <c r="B41" s="3" t="s">
        <v>112</v>
      </c>
      <c r="C41" s="3" t="s">
        <v>109</v>
      </c>
      <c r="D41" s="3" t="s">
        <v>113</v>
      </c>
      <c r="E41" s="3" t="s">
        <v>114</v>
      </c>
      <c r="F41" s="3" t="s">
        <v>12</v>
      </c>
      <c r="G41" s="3" t="s">
        <v>103</v>
      </c>
      <c r="H41" s="3">
        <f t="shared" si="2"/>
        <v>15</v>
      </c>
    </row>
    <row r="42">
      <c r="A42" s="2" t="str">
        <f t="shared" si="1"/>
        <v>P-41</v>
      </c>
      <c r="B42" s="3" t="s">
        <v>115</v>
      </c>
      <c r="C42" s="3" t="s">
        <v>109</v>
      </c>
      <c r="D42" s="3" t="s">
        <v>113</v>
      </c>
      <c r="E42" s="3" t="s">
        <v>116</v>
      </c>
      <c r="F42" s="3" t="s">
        <v>12</v>
      </c>
      <c r="G42" s="3" t="s">
        <v>103</v>
      </c>
      <c r="H42" s="3">
        <f t="shared" si="2"/>
        <v>15</v>
      </c>
    </row>
    <row r="43">
      <c r="A43" s="2" t="str">
        <f t="shared" si="1"/>
        <v>P-42</v>
      </c>
      <c r="B43" s="3" t="s">
        <v>117</v>
      </c>
      <c r="C43" s="3" t="s">
        <v>109</v>
      </c>
      <c r="D43" s="3" t="s">
        <v>113</v>
      </c>
      <c r="E43" s="3" t="s">
        <v>118</v>
      </c>
      <c r="F43" s="3" t="s">
        <v>12</v>
      </c>
      <c r="G43" s="3" t="s">
        <v>103</v>
      </c>
      <c r="H43" s="3">
        <f t="shared" si="2"/>
        <v>15</v>
      </c>
    </row>
    <row r="44">
      <c r="A44" s="2" t="str">
        <f t="shared" si="1"/>
        <v>P-43</v>
      </c>
      <c r="B44" s="3" t="s">
        <v>119</v>
      </c>
      <c r="C44" s="3" t="s">
        <v>109</v>
      </c>
      <c r="D44" s="3" t="s">
        <v>10</v>
      </c>
      <c r="E44" s="3" t="s">
        <v>120</v>
      </c>
      <c r="F44" s="3" t="s">
        <v>12</v>
      </c>
      <c r="G44" s="3" t="s">
        <v>103</v>
      </c>
      <c r="H44" s="3">
        <f t="shared" si="2"/>
        <v>15</v>
      </c>
    </row>
    <row r="45">
      <c r="A45" s="2" t="str">
        <f t="shared" si="1"/>
        <v>P-44</v>
      </c>
      <c r="B45" s="3" t="s">
        <v>121</v>
      </c>
      <c r="C45" s="3" t="s">
        <v>109</v>
      </c>
      <c r="D45" s="3" t="s">
        <v>10</v>
      </c>
      <c r="E45" s="3" t="s">
        <v>122</v>
      </c>
      <c r="F45" s="3" t="s">
        <v>12</v>
      </c>
      <c r="G45" s="3" t="s">
        <v>103</v>
      </c>
      <c r="H45" s="3">
        <f t="shared" si="2"/>
        <v>15</v>
      </c>
    </row>
    <row r="46">
      <c r="A46" s="2" t="str">
        <f t="shared" si="1"/>
        <v>P-45</v>
      </c>
      <c r="B46" s="3" t="s">
        <v>123</v>
      </c>
      <c r="C46" s="3" t="s">
        <v>124</v>
      </c>
      <c r="D46" s="3" t="s">
        <v>10</v>
      </c>
      <c r="E46" s="3" t="s">
        <v>125</v>
      </c>
      <c r="F46" s="3" t="s">
        <v>12</v>
      </c>
      <c r="G46" s="3" t="s">
        <v>103</v>
      </c>
      <c r="H46" s="3">
        <f t="shared" si="2"/>
        <v>15</v>
      </c>
    </row>
    <row r="47">
      <c r="A47" s="2" t="str">
        <f t="shared" si="1"/>
        <v>P-46</v>
      </c>
      <c r="B47" s="3" t="s">
        <v>126</v>
      </c>
      <c r="C47" s="3" t="s">
        <v>124</v>
      </c>
      <c r="D47" s="3" t="s">
        <v>10</v>
      </c>
      <c r="E47" s="3" t="s">
        <v>127</v>
      </c>
      <c r="F47" s="3" t="s">
        <v>12</v>
      </c>
      <c r="G47" s="3" t="s">
        <v>103</v>
      </c>
      <c r="H47" s="3">
        <f t="shared" si="2"/>
        <v>15</v>
      </c>
    </row>
    <row r="48">
      <c r="A48" s="2" t="str">
        <f t="shared" si="1"/>
        <v>P-47</v>
      </c>
      <c r="B48" s="3" t="s">
        <v>128</v>
      </c>
      <c r="C48" s="3" t="s">
        <v>124</v>
      </c>
      <c r="D48" s="3" t="s">
        <v>10</v>
      </c>
      <c r="E48" s="3" t="s">
        <v>129</v>
      </c>
      <c r="F48" s="3" t="s">
        <v>20</v>
      </c>
      <c r="G48" s="3" t="s">
        <v>103</v>
      </c>
      <c r="H48" s="3">
        <f t="shared" si="2"/>
        <v>10</v>
      </c>
    </row>
    <row r="49">
      <c r="A49" s="2" t="str">
        <f t="shared" si="1"/>
        <v>P-48</v>
      </c>
      <c r="B49" s="3" t="s">
        <v>130</v>
      </c>
      <c r="C49" s="3" t="s">
        <v>124</v>
      </c>
      <c r="D49" s="3" t="s">
        <v>10</v>
      </c>
      <c r="E49" s="3" t="s">
        <v>131</v>
      </c>
      <c r="F49" s="3" t="s">
        <v>12</v>
      </c>
      <c r="G49" s="3" t="s">
        <v>103</v>
      </c>
      <c r="H49" s="3">
        <f t="shared" si="2"/>
        <v>15</v>
      </c>
    </row>
    <row r="50">
      <c r="A50" s="2" t="str">
        <f t="shared" si="1"/>
        <v>P-49</v>
      </c>
      <c r="C50" s="4"/>
      <c r="F50" s="4"/>
      <c r="G50" s="4"/>
      <c r="H50" s="3" t="str">
        <f t="shared" si="2"/>
        <v/>
      </c>
    </row>
    <row r="51">
      <c r="A51" s="2" t="str">
        <f t="shared" si="1"/>
        <v>P-50</v>
      </c>
      <c r="C51" s="4"/>
      <c r="F51" s="4"/>
      <c r="G51" s="4"/>
      <c r="H51" s="3" t="str">
        <f t="shared" si="2"/>
        <v/>
      </c>
    </row>
    <row r="52">
      <c r="A52" s="2" t="str">
        <f t="shared" si="1"/>
        <v>P-51</v>
      </c>
      <c r="C52" s="4"/>
      <c r="F52" s="4"/>
      <c r="G52" s="4"/>
      <c r="H52" s="3" t="str">
        <f t="shared" si="2"/>
        <v/>
      </c>
    </row>
    <row r="53">
      <c r="A53" s="2" t="str">
        <f t="shared" si="1"/>
        <v>P-52</v>
      </c>
      <c r="C53" s="4"/>
      <c r="F53" s="4"/>
      <c r="G53" s="4"/>
      <c r="H53" s="3" t="str">
        <f t="shared" si="2"/>
        <v/>
      </c>
    </row>
    <row r="54">
      <c r="A54" s="2" t="str">
        <f t="shared" si="1"/>
        <v>P-53</v>
      </c>
      <c r="C54" s="4"/>
      <c r="F54" s="4"/>
      <c r="G54" s="4"/>
      <c r="H54" s="3" t="str">
        <f t="shared" si="2"/>
        <v/>
      </c>
    </row>
    <row r="55">
      <c r="A55" s="2" t="str">
        <f t="shared" si="1"/>
        <v>P-54</v>
      </c>
      <c r="C55" s="4"/>
      <c r="F55" s="4"/>
      <c r="G55" s="4"/>
      <c r="H55" s="3" t="str">
        <f t="shared" si="2"/>
        <v/>
      </c>
    </row>
    <row r="56">
      <c r="A56" s="2" t="str">
        <f t="shared" si="1"/>
        <v>P-55</v>
      </c>
      <c r="C56" s="4"/>
      <c r="F56" s="4"/>
      <c r="G56" s="4"/>
      <c r="H56" s="3" t="str">
        <f t="shared" si="2"/>
        <v/>
      </c>
    </row>
    <row r="57">
      <c r="A57" s="2" t="str">
        <f t="shared" si="1"/>
        <v>P-56</v>
      </c>
      <c r="C57" s="4"/>
      <c r="F57" s="4"/>
      <c r="G57" s="4"/>
      <c r="H57" s="3" t="str">
        <f t="shared" si="2"/>
        <v/>
      </c>
    </row>
    <row r="58">
      <c r="A58" s="2" t="str">
        <f t="shared" si="1"/>
        <v>P-57</v>
      </c>
      <c r="C58" s="4"/>
      <c r="F58" s="4"/>
      <c r="G58" s="4"/>
      <c r="H58" s="3" t="str">
        <f t="shared" si="2"/>
        <v/>
      </c>
    </row>
  </sheetData>
  <autoFilter ref="$A$1:$H$58">
    <sortState ref="A1:H58">
      <sortCondition ref="C1:C58"/>
    </sortState>
  </autoFilter>
  <dataValidations>
    <dataValidation type="list" allowBlank="1" showErrorMessage="1" sqref="G2:G58">
      <formula1>"Sin Empezar,En Progreso,Finalizado"</formula1>
    </dataValidation>
    <dataValidation type="list" allowBlank="1" showErrorMessage="1" sqref="C2:C58">
      <formula1>"Sprint 0,Sprint 1,Sprint 2,Sprint 3,Sprint 4"</formula1>
    </dataValidation>
    <dataValidation type="list" allowBlank="1" showErrorMessage="1" sqref="F2:F58">
      <formula1>"Alta,Media,Baja"</formula1>
    </dataValidation>
  </dataValidations>
  <drawing r:id="rId4"/>
  <legacyDrawing r:id="rId5"/>
</worksheet>
</file>